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7C268054-3087-4B1E-8C21-FB529C1EBBBC}" xr6:coauthVersionLast="47" xr6:coauthVersionMax="47" xr10:uidLastSave="{00000000-0000-0000-0000-000000000000}"/>
  <bookViews>
    <workbookView xWindow="-28800" yWindow="480" windowWidth="24000" windowHeight="15000" xr2:uid="{00000000-000D-0000-FFFF-FFFF00000000}"/>
  </bookViews>
  <sheets>
    <sheet name="Elements" sheetId="1" r:id="rId1"/>
    <sheet name="Lines" sheetId="2" r:id="rId2"/>
    <sheet name="Direct" sheetId="3" r:id="rId3"/>
    <sheet name="Hidden" sheetId="4" r:id="rId4"/>
    <sheet name="Builti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3" i="3" l="1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P33" i="1"/>
  <c r="O33" i="1"/>
  <c r="N33" i="1"/>
  <c r="M33" i="1"/>
  <c r="L33" i="1"/>
  <c r="M26" i="1"/>
  <c r="L26" i="1"/>
  <c r="N19" i="1"/>
  <c r="M19" i="1"/>
  <c r="L19" i="1"/>
  <c r="H10" i="1"/>
  <c r="G10" i="1"/>
  <c r="F10" i="1"/>
  <c r="E10" i="1"/>
  <c r="D10" i="1"/>
  <c r="C10" i="1"/>
</calcChain>
</file>

<file path=xl/sharedStrings.xml><?xml version="1.0" encoding="utf-8"?>
<sst xmlns="http://schemas.openxmlformats.org/spreadsheetml/2006/main" count="317" uniqueCount="105">
  <si>
    <t>AllOn1</t>
  </si>
  <si>
    <t>AllOn2</t>
  </si>
  <si>
    <t>AllOn3</t>
  </si>
  <si>
    <t>AllOn4</t>
  </si>
  <si>
    <t>AllOn5</t>
  </si>
  <si>
    <t>AllOn6</t>
  </si>
  <si>
    <t>AllOn7</t>
  </si>
  <si>
    <t>Sized1</t>
  </si>
  <si>
    <t>Sized2</t>
  </si>
  <si>
    <t>Sized3</t>
  </si>
  <si>
    <t>Sized4</t>
  </si>
  <si>
    <t>Sized5</t>
  </si>
  <si>
    <t>Sized6</t>
  </si>
  <si>
    <t>Sized7</t>
  </si>
  <si>
    <t>Total</t>
  </si>
  <si>
    <t>RowsOnly1</t>
  </si>
  <si>
    <t>RowsOnly2</t>
  </si>
  <si>
    <t>RowsOnly3</t>
  </si>
  <si>
    <t>RowsOnly4</t>
  </si>
  <si>
    <t>RowsOnly5</t>
  </si>
  <si>
    <t>RowsOnly6</t>
  </si>
  <si>
    <t>RowsOnly7</t>
  </si>
  <si>
    <t>LastOnly1</t>
  </si>
  <si>
    <t>LastOnly2</t>
  </si>
  <si>
    <t>LastOnly3</t>
  </si>
  <si>
    <t>LastOnly4</t>
  </si>
  <si>
    <t>OneColumn1</t>
  </si>
  <si>
    <t>ColumnsOnly1</t>
  </si>
  <si>
    <t>ColumnsOnly2</t>
  </si>
  <si>
    <t>ColumnsOnly3</t>
  </si>
  <si>
    <t>ColumnsOnly4</t>
  </si>
  <si>
    <t>ColumnsOnly5</t>
  </si>
  <si>
    <t>ColumnsOnly6</t>
  </si>
  <si>
    <t>a</t>
  </si>
  <si>
    <t>b</t>
  </si>
  <si>
    <t>c</t>
  </si>
  <si>
    <t>d</t>
  </si>
  <si>
    <t>e</t>
  </si>
  <si>
    <t>f</t>
  </si>
  <si>
    <t>g</t>
  </si>
  <si>
    <t>Medium1</t>
  </si>
  <si>
    <t>Medium2</t>
  </si>
  <si>
    <t>Medium3</t>
  </si>
  <si>
    <t>Medium4</t>
  </si>
  <si>
    <t>Medium5</t>
  </si>
  <si>
    <t>Medium6</t>
  </si>
  <si>
    <t>Medium7</t>
  </si>
  <si>
    <t>Medium8</t>
  </si>
  <si>
    <t>Medium9</t>
  </si>
  <si>
    <t>Medium10</t>
  </si>
  <si>
    <t>Medium11</t>
  </si>
  <si>
    <t>Medium12</t>
  </si>
  <si>
    <t>Medium13</t>
  </si>
  <si>
    <t>Medium14</t>
  </si>
  <si>
    <t>Medium15</t>
  </si>
  <si>
    <t>Medium16</t>
  </si>
  <si>
    <t>Dark1</t>
  </si>
  <si>
    <t>Dark2</t>
  </si>
  <si>
    <t>Dark3</t>
  </si>
  <si>
    <t>Dark4</t>
  </si>
  <si>
    <t>Dark5</t>
  </si>
  <si>
    <t>Dark6</t>
  </si>
  <si>
    <t>Dark7</t>
  </si>
  <si>
    <t>Dark8</t>
  </si>
  <si>
    <t>Dark9</t>
  </si>
  <si>
    <t>Dark10</t>
  </si>
  <si>
    <t>Dark11</t>
  </si>
  <si>
    <t>Dark12</t>
  </si>
  <si>
    <t>Dark13</t>
  </si>
  <si>
    <t>Dark14</t>
  </si>
  <si>
    <t>Dark15</t>
  </si>
  <si>
    <t>Dark16</t>
  </si>
  <si>
    <t>Light1</t>
  </si>
  <si>
    <t>Light2</t>
  </si>
  <si>
    <t>Light3</t>
  </si>
  <si>
    <t>Light4</t>
  </si>
  <si>
    <t>Light5</t>
  </si>
  <si>
    <t>Light6</t>
  </si>
  <si>
    <t>Light7</t>
  </si>
  <si>
    <t>Light8</t>
  </si>
  <si>
    <t>Light9</t>
  </si>
  <si>
    <t>Light10</t>
  </si>
  <si>
    <t>Light11</t>
  </si>
  <si>
    <t>Light12</t>
  </si>
  <si>
    <t>Light13</t>
  </si>
  <si>
    <t>Light14</t>
  </si>
  <si>
    <t>Light15</t>
  </si>
  <si>
    <t>Light16</t>
  </si>
  <si>
    <t>Fonts1</t>
  </si>
  <si>
    <t>Fonts2</t>
  </si>
  <si>
    <t>Fonts3</t>
  </si>
  <si>
    <t>Fonts4</t>
  </si>
  <si>
    <t>Unstyled1</t>
  </si>
  <si>
    <t>Unstyled2</t>
  </si>
  <si>
    <t>Unstyled3</t>
  </si>
  <si>
    <t>BandedRows1</t>
  </si>
  <si>
    <t>BandedRows2</t>
  </si>
  <si>
    <t>BandedRows3</t>
  </si>
  <si>
    <t>BandedRows4</t>
  </si>
  <si>
    <t>BandedColumns1</t>
  </si>
  <si>
    <t>BandedColumns2</t>
  </si>
  <si>
    <t>BandedColumns3</t>
  </si>
  <si>
    <t>BandedColumns4</t>
  </si>
  <si>
    <t>BandedColumns5</t>
  </si>
  <si>
    <t>BandedColumns6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</si>
</sst>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2" xfId="0" applyBorder="1"/>
    <xf numFmtId="0" fontId="8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49">
    <dxf>
      <fill>
        <patternFill>
          <bgColor rgb="FFF0F006"/>
        </patternFill>
      </fill>
      <border>
        <left style="thin">
          <color rgb="FFB00601"/>
        </left>
        <right style="thin">
          <color rgb="FFB00602"/>
        </right>
        <top style="thin">
          <color rgb="FFB00603"/>
        </top>
        <bottom style="thin">
          <color rgb="FFB00604"/>
        </bottom>
        <vertical style="thin">
          <color rgb="FFB00605"/>
        </vertical>
        <horizontal style="thin">
          <color rgb="FFB00606"/>
        </horizontal>
      </border>
    </dxf>
    <dxf>
      <fill>
        <patternFill>
          <bgColor rgb="FFF0F005"/>
        </patternFill>
      </fill>
      <border>
        <left style="thin">
          <color rgb="FFB00501"/>
        </left>
        <right style="thin">
          <color rgb="FFB00502"/>
        </right>
        <top style="thin">
          <color rgb="FFB00503"/>
        </top>
        <bottom style="thin">
          <color rgb="FFB00504"/>
        </bottom>
        <vertical style="thin">
          <color rgb="FFB00505"/>
        </vertical>
        <horizontal style="thin">
          <color rgb="FFB00506"/>
        </horizontal>
      </border>
    </dxf>
    <dxf>
      <font>
        <strike/>
        <color rgb="FFA00002"/>
      </font>
      <fill>
        <patternFill>
          <bgColor rgb="FFF0F002"/>
        </patternFill>
      </fill>
    </dxf>
    <dxf>
      <font>
        <b/>
        <color rgb="FFA00001"/>
      </font>
      <fill>
        <patternFill>
          <bgColor rgb="FFF0F001"/>
        </patternFill>
      </fill>
    </dxf>
    <dxf>
      <border>
        <left style="thin">
          <color rgb="FFB00001"/>
        </left>
        <right style="thin">
          <color rgb="FFB00002"/>
        </right>
        <top style="thin">
          <color rgb="FFB00003"/>
        </top>
        <bottom style="thin">
          <color rgb="FFB00004"/>
        </bottom>
        <vertical style="thin">
          <color rgb="FFB00005"/>
        </vertical>
        <horizontal style="thin">
          <color rgb="FFB00006"/>
        </horizontal>
      </border>
    </dxf>
    <dxf>
      <fill>
        <patternFill>
          <bgColor rgb="FFF0F008"/>
        </patternFill>
      </fill>
      <border>
        <left style="thin">
          <color rgb="FFB00801"/>
        </left>
        <right style="thin">
          <color rgb="FFB00802"/>
        </right>
        <top style="thin">
          <color rgb="FFB00803"/>
        </top>
        <bottom style="thin">
          <color rgb="FFB00804"/>
        </bottom>
        <vertical style="thin">
          <color rgb="FFB00805"/>
        </vertical>
        <horizontal style="thin">
          <color rgb="FFB00806"/>
        </horizontal>
      </border>
    </dxf>
    <dxf>
      <fill>
        <patternFill>
          <bgColor rgb="FFF0F007"/>
        </patternFill>
      </fill>
      <border>
        <left style="thin">
          <color rgb="FFB00701"/>
        </left>
        <right style="thin">
          <color rgb="FFB00702"/>
        </right>
        <top style="thin">
          <color rgb="FFB00703"/>
        </top>
        <bottom style="thin">
          <color rgb="FFB00704"/>
        </bottom>
        <vertical style="thin">
          <color rgb="FFB00705"/>
        </vertical>
        <horizontal style="thin">
          <color rgb="FFB00706"/>
        </horizontal>
      </border>
    </dxf>
    <dxf>
      <font>
        <strike/>
        <color rgb="FFA00002"/>
      </font>
      <fill>
        <patternFill>
          <bgColor rgb="FFF0F002"/>
        </patternFill>
      </fill>
    </dxf>
    <dxf>
      <font>
        <b/>
        <color rgb="FFA00001"/>
      </font>
      <fill>
        <patternFill>
          <bgColor rgb="FFF0F001"/>
        </patternFill>
      </fill>
    </dxf>
    <dxf>
      <border>
        <left style="thin">
          <color rgb="FFB00001"/>
        </left>
        <right style="thin">
          <color rgb="FFB00002"/>
        </right>
        <top style="thin">
          <color rgb="FFB00003"/>
        </top>
        <bottom style="thin">
          <color rgb="FFB00004"/>
        </bottom>
        <vertical style="thin">
          <color rgb="FFB00005"/>
        </vertical>
        <horizontal style="thin">
          <color rgb="FFB00006"/>
        </horizontal>
      </border>
    </dxf>
    <dxf>
      <border>
        <left style="thin">
          <color rgb="FFB00C01"/>
        </left>
        <right style="thin">
          <color rgb="FFB00C02"/>
        </right>
        <top style="thin">
          <color rgb="FFB00C03"/>
        </top>
        <bottom style="thin">
          <color rgb="FFB00C04"/>
        </bottom>
        <vertical style="thin">
          <color rgb="FFB00C05"/>
        </vertical>
        <horizontal style="thin">
          <color rgb="FFB00C06"/>
        </horizontal>
      </border>
    </dxf>
    <dxf>
      <border>
        <left style="thin">
          <color rgb="FFB00B01"/>
        </left>
        <right style="thin">
          <color rgb="FFB00B02"/>
        </right>
        <top style="thin">
          <color rgb="FFB00B03"/>
        </top>
        <bottom style="thin">
          <color rgb="FFB00B04"/>
        </bottom>
        <vertical style="thin">
          <color rgb="FFB00B05"/>
        </vertical>
        <horizontal style="thin">
          <color rgb="FFB00B06"/>
        </horizontal>
      </border>
    </dxf>
    <dxf>
      <border>
        <left style="thin">
          <color rgb="FFB00A01"/>
        </left>
        <right style="thin">
          <color rgb="FFB00A02"/>
        </right>
        <top style="thin">
          <color rgb="FFB00A03"/>
        </top>
        <bottom style="thin">
          <color rgb="FFB00A04"/>
        </bottom>
        <vertical style="thin">
          <color rgb="FFB00A05"/>
        </vertical>
        <horizontal style="thin">
          <color rgb="FFB00A06"/>
        </horizontal>
      </border>
    </dxf>
    <dxf>
      <border>
        <left style="thin">
          <color rgb="FFB00901"/>
        </left>
        <right style="thin">
          <color rgb="FFB00902"/>
        </right>
        <top style="thin">
          <color rgb="FFB00903"/>
        </top>
        <bottom style="thin">
          <color rgb="FFB00904"/>
        </bottom>
        <vertical style="thin">
          <color rgb="FFB00905"/>
        </vertical>
        <horizontal style="thin">
          <color rgb="FFB00906"/>
        </horizontal>
      </border>
    </dxf>
    <dxf>
      <border>
        <left style="thin">
          <color rgb="FFB00801"/>
        </left>
        <right style="thin">
          <color rgb="FFB00802"/>
        </right>
        <top style="thin">
          <color rgb="FFB00803"/>
        </top>
        <bottom style="thin">
          <color rgb="FFB00804"/>
        </bottom>
        <vertical style="thin">
          <color rgb="FFB00805"/>
        </vertical>
        <horizontal style="thin">
          <color rgb="FFB00806"/>
        </horizontal>
      </border>
    </dxf>
    <dxf>
      <border>
        <left style="thin">
          <color rgb="FFB00701"/>
        </left>
        <right style="thin">
          <color rgb="FFB00702"/>
        </right>
        <top style="thin">
          <color rgb="FFB00703"/>
        </top>
        <bottom style="thin">
          <color rgb="FFB00704"/>
        </bottom>
        <vertical style="thin">
          <color rgb="FFB00705"/>
        </vertical>
        <horizontal style="thin">
          <color rgb="FFB00706"/>
        </horizontal>
      </border>
    </dxf>
    <dxf>
      <border>
        <left style="thin">
          <color rgb="FFB00601"/>
        </left>
        <right style="thin">
          <color rgb="FFB00602"/>
        </right>
        <top style="thin">
          <color rgb="FFB00603"/>
        </top>
        <bottom style="thin">
          <color rgb="FFB00604"/>
        </bottom>
        <vertical style="thin">
          <color rgb="FFB00605"/>
        </vertical>
        <horizontal style="thin">
          <color rgb="FFB00606"/>
        </horizontal>
      </border>
    </dxf>
    <dxf>
      <border>
        <left style="thin">
          <color rgb="FFB00501"/>
        </left>
        <right style="thin">
          <color rgb="FFB00502"/>
        </right>
        <top style="thin">
          <color rgb="FFB00503"/>
        </top>
        <bottom style="thin">
          <color rgb="FFB00504"/>
        </bottom>
        <vertical style="thin">
          <color rgb="FFB00505"/>
        </vertical>
        <horizontal style="thin">
          <color rgb="FFB00506"/>
        </horizontal>
      </border>
    </dxf>
    <dxf>
      <border>
        <left style="thin">
          <color rgb="FFB00401"/>
        </left>
        <right style="thin">
          <color rgb="FFB00402"/>
        </right>
        <top style="thin">
          <color rgb="FFB00403"/>
        </top>
        <bottom style="thin">
          <color rgb="FFB00404"/>
        </bottom>
        <vertical style="thin">
          <color rgb="FFB00405"/>
        </vertical>
        <horizontal style="thin">
          <color rgb="FFB00406"/>
        </horizontal>
      </border>
    </dxf>
    <dxf>
      <border>
        <left style="thin">
          <color rgb="FFB00301"/>
        </left>
        <right style="thin">
          <color rgb="FFB00302"/>
        </right>
        <top style="thin">
          <color rgb="FFB00303"/>
        </top>
        <bottom style="thin">
          <color rgb="FFB00304"/>
        </bottom>
        <vertical style="thin">
          <color rgb="FFB00305"/>
        </vertical>
        <horizontal style="thin">
          <color rgb="FFB00306"/>
        </horizontal>
      </border>
    </dxf>
    <dxf>
      <border>
        <left style="thin">
          <color rgb="FFB00201"/>
        </left>
        <right style="thin">
          <color rgb="FFB00202"/>
        </right>
        <top style="thin">
          <color rgb="FFB00203"/>
        </top>
        <bottom style="thin">
          <color rgb="FFB00204"/>
        </bottom>
        <vertical style="thin">
          <color rgb="FFB00205"/>
        </vertical>
        <horizontal style="thin">
          <color rgb="FFB00206"/>
        </horizontal>
      </border>
    </dxf>
    <dxf>
      <border>
        <left style="thin">
          <color rgb="FFB00101"/>
        </left>
        <right style="thin">
          <color rgb="FFB00102"/>
        </right>
        <top style="thin">
          <color rgb="FFB00103"/>
        </top>
        <bottom style="thin">
          <color rgb="FFB00104"/>
        </bottom>
        <vertical style="thin">
          <color rgb="FFB00105"/>
        </vertical>
        <horizontal style="thin">
          <color rgb="FFB00106"/>
        </horizontal>
      </border>
    </dxf>
    <dxf>
      <border>
        <left style="thin">
          <color rgb="FFB00001"/>
        </left>
        <right style="thin">
          <color rgb="FFB00002"/>
        </right>
        <top style="thin">
          <color rgb="FFB00003"/>
        </top>
        <bottom style="thin">
          <color rgb="FFB00004"/>
        </bottom>
        <vertical style="thin">
          <color rgb="FFB00005"/>
        </vertical>
        <horizontal style="thin">
          <color rgb="FFB00006"/>
        </horizontal>
      </border>
    </dxf>
    <dxf>
      <font>
        <color rgb="FFA0000C"/>
      </font>
      <fill>
        <patternFill>
          <bgColor rgb="FFF0F00C"/>
        </patternFill>
      </fill>
    </dxf>
    <dxf>
      <font>
        <color rgb="FFA0000B"/>
      </font>
      <fill>
        <patternFill>
          <bgColor rgb="FFF0F00B"/>
        </patternFill>
      </fill>
    </dxf>
    <dxf>
      <font>
        <color rgb="FFA0000A"/>
      </font>
      <fill>
        <patternFill>
          <bgColor rgb="FFF0F00A"/>
        </patternFill>
      </fill>
    </dxf>
    <dxf>
      <font>
        <color rgb="FFA00009"/>
      </font>
      <fill>
        <patternFill>
          <bgColor rgb="FFF0F009"/>
        </patternFill>
      </fill>
    </dxf>
    <dxf>
      <font>
        <color rgb="FFA00008"/>
      </font>
      <fill>
        <patternFill>
          <bgColor rgb="FFF0F008"/>
        </patternFill>
      </fill>
    </dxf>
    <dxf>
      <font>
        <color rgb="FFA00007"/>
      </font>
      <fill>
        <patternFill>
          <bgColor rgb="FFF0F007"/>
        </patternFill>
      </fill>
    </dxf>
    <dxf>
      <font>
        <i val="0"/>
        <color rgb="FFA00006"/>
      </font>
      <fill>
        <patternFill>
          <bgColor rgb="FFF0F006"/>
        </patternFill>
      </fill>
    </dxf>
    <dxf>
      <font>
        <color rgb="FFA00005"/>
      </font>
      <fill>
        <patternFill>
          <bgColor rgb="FFF0F005"/>
        </patternFill>
      </fill>
    </dxf>
    <dxf>
      <font>
        <b/>
        <color rgb="FFA00004"/>
      </font>
      <fill>
        <patternFill>
          <bgColor rgb="FFF0F004"/>
        </patternFill>
      </fill>
    </dxf>
    <dxf>
      <font>
        <u/>
        <color rgb="FFA00003"/>
      </font>
      <fill>
        <patternFill>
          <bgColor rgb="FFF0F003"/>
        </patternFill>
      </fill>
    </dxf>
    <dxf>
      <font>
        <strike/>
        <color rgb="FFA00002"/>
      </font>
      <fill>
        <patternFill>
          <bgColor rgb="FFF0F002"/>
        </patternFill>
      </fill>
    </dxf>
    <dxf>
      <font>
        <b/>
        <color rgb="FFA00001"/>
      </font>
      <fill>
        <patternFill>
          <bgColor rgb="FFF0F001"/>
        </patternFill>
      </fill>
    </dxf>
    <dxf>
      <font>
        <i/>
        <color rgb="FFA00000"/>
      </font>
      <fill>
        <patternFill>
          <bgColor rgb="FFF0F000"/>
        </patternFill>
      </fill>
    </dxf>
    <dxf>
      <font>
        <color rgb="FFA0000C"/>
      </font>
      <fill>
        <patternFill>
          <bgColor rgb="FFF0F00C"/>
        </patternFill>
      </fill>
    </dxf>
    <dxf>
      <font>
        <color rgb="FFA0000B"/>
      </font>
      <fill>
        <patternFill>
          <bgColor rgb="FFF0F00B"/>
        </patternFill>
      </fill>
    </dxf>
    <dxf>
      <font>
        <color rgb="FFA0000A"/>
      </font>
      <fill>
        <patternFill>
          <bgColor rgb="FFF0F00A"/>
        </patternFill>
      </fill>
    </dxf>
    <dxf>
      <font>
        <color rgb="FFA00009"/>
      </font>
      <fill>
        <patternFill>
          <bgColor rgb="FFF0F009"/>
        </patternFill>
      </fill>
    </dxf>
    <dxf>
      <font>
        <color rgb="FFA00008"/>
      </font>
      <fill>
        <patternFill>
          <bgColor rgb="FFF0F008"/>
        </patternFill>
      </fill>
    </dxf>
    <dxf>
      <font>
        <color rgb="FFA00007"/>
      </font>
      <fill>
        <patternFill>
          <bgColor rgb="FFF0F007"/>
        </patternFill>
      </fill>
    </dxf>
    <dxf>
      <font>
        <i val="0"/>
        <color rgb="FFA00006"/>
      </font>
      <fill>
        <patternFill>
          <bgColor rgb="FFF0F006"/>
        </patternFill>
      </fill>
    </dxf>
    <dxf>
      <font>
        <color rgb="FFA00005"/>
      </font>
      <fill>
        <patternFill>
          <bgColor rgb="FFF0F005"/>
        </patternFill>
      </fill>
    </dxf>
    <dxf>
      <font>
        <b/>
        <color rgb="FFA00004"/>
      </font>
      <fill>
        <patternFill>
          <bgColor rgb="FFF0F004"/>
        </patternFill>
      </fill>
    </dxf>
    <dxf>
      <font>
        <u/>
        <color rgb="FFA00003"/>
      </font>
      <fill>
        <patternFill>
          <bgColor rgb="FFF0F003"/>
        </patternFill>
      </fill>
    </dxf>
    <dxf>
      <font>
        <strike/>
        <color rgb="FFA00002"/>
      </font>
      <fill>
        <patternFill>
          <bgColor rgb="FFF0F002"/>
        </patternFill>
      </fill>
    </dxf>
    <dxf>
      <font>
        <b/>
        <color rgb="FFA00001"/>
      </font>
      <fill>
        <patternFill>
          <bgColor rgb="FFF0F001"/>
        </patternFill>
      </fill>
    </dxf>
    <dxf>
      <font>
        <i/>
        <color rgb="FFA00000"/>
      </font>
      <fill>
        <patternFill>
          <bgColor rgb="FFF0F000"/>
        </patternFill>
      </fill>
    </dxf>
  </dxfs>
  <tableStyles count="5" defaultTableStyle="TableStyleMedium2" defaultPivotStyle="PivotStyleLight16">
    <tableStyle name="Fills" pivot="0" count="13" xr9:uid="{00000000-0011-0000-FFFF-FFFF00000000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secondRowStripe" dxfId="42"/>
      <tableStyleElement type="firstColumnStripe" dxfId="41"/>
      <tableStyleElement type="secondColumnStripe" dxfId="40"/>
      <tableStyleElement type="firstHeaderCell" dxfId="39"/>
      <tableStyleElement type="lastHeaderCell" dxfId="38"/>
      <tableStyleElement type="firstTotalCell" dxfId="37"/>
      <tableStyleElement type="lastTotalCell" dxfId="36"/>
    </tableStyle>
    <tableStyle name="FillsSized" pivot="0" count="13" xr9:uid="{00000000-0011-0000-FFFF-FFFF01000000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size="2" dxfId="30"/>
      <tableStyleElement type="secondRowStripe" size="3" dxfId="29"/>
      <tableStyleElement type="firstColumnStripe" size="2" dxfId="28"/>
      <tableStyleElement type="secondColumnStripe" dxfId="27"/>
      <tableStyleElement type="firstHeaderCell" dxfId="26"/>
      <tableStyleElement type="lastHeaderCell" dxfId="25"/>
      <tableStyleElement type="firstTotalCell" dxfId="24"/>
      <tableStyleElement type="lastTotalCell" dxfId="23"/>
    </tableStyle>
    <tableStyle name="Lines" pivot="0" count="13" xr9:uid="{00000000-0011-0000-FFFF-FFFF02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secondRowStripe" dxfId="16"/>
      <tableStyleElement type="firstColumnStripe" dxfId="15"/>
      <tableStyleElement type="secondColumnStripe" dxfId="14"/>
      <tableStyleElement type="firstHeaderCell" dxfId="13"/>
      <tableStyleElement type="lastHeaderCell" dxfId="12"/>
      <tableStyleElement type="firstTotalCell" dxfId="11"/>
      <tableStyleElement type="lastTotalCell" dxfId="10"/>
    </tableStyle>
    <tableStyle name="ColumnBands" pivot="0" count="5" xr9:uid="{00000000-0011-0000-FFFF-FFFF03000000}">
      <tableStyleElement type="wholeTable" dxfId="9"/>
      <tableStyleElement type="headerRow" dxfId="8"/>
      <tableStyleElement type="totalRow" dxfId="7"/>
      <tableStyleElement type="firstColumnStripe" size="2" dxfId="6"/>
      <tableStyleElement type="secondColumnStripe" dxfId="5"/>
    </tableStyle>
    <tableStyle name="RowBands" pivot="0" count="5" xr9:uid="{00000000-0011-0000-FFFF-FFFF04000000}">
      <tableStyleElement type="wholeTable" dxfId="4"/>
      <tableStyleElement type="headerRow" dxfId="3"/>
      <tableStyleElement type="totalRow" dxfId="2"/>
      <tableStyleElement type="firstRowStripe" size="2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On" displayName="AllOn" ref="B2:H10" totalsRowCount="1">
  <autoFilter ref="B2:H9" xr:uid="{00000000-0009-0000-0100-000001000000}"/>
  <tableColumns count="7">
    <tableColumn id="1" xr3:uid="{00000000-0010-0000-0000-000001000000}" name="AllOn1" totalsRowLabel="Total"/>
    <tableColumn id="2" xr3:uid="{00000000-0010-0000-0000-000002000000}" name="AllOn2" totalsRowFunction="sum"/>
    <tableColumn id="3" xr3:uid="{00000000-0010-0000-0000-000003000000}" name="AllOn3" totalsRowFunction="sum"/>
    <tableColumn id="4" xr3:uid="{00000000-0010-0000-0000-000004000000}" name="AllOn4" totalsRowFunction="sum"/>
    <tableColumn id="5" xr3:uid="{00000000-0010-0000-0000-000005000000}" name="AllOn5" totalsRowFunction="sum"/>
    <tableColumn id="6" xr3:uid="{00000000-0010-0000-0000-000006000000}" name="AllOn6" totalsRowFunction="sum"/>
    <tableColumn id="7" xr3:uid="{00000000-0010-0000-0000-000007000000}" name="AllOn7" totalsRowFunction="sum"/>
  </tableColumns>
  <tableStyleInfo name="Fills" showFirstColumn="1" showLastColumn="1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sOnly" displayName="RowsOnly" ref="B13:H18">
  <autoFilter ref="B13:H18" xr:uid="{00000000-0009-0000-0100-000002000000}"/>
  <tableColumns count="7">
    <tableColumn id="1" xr3:uid="{00000000-0010-0000-0100-000001000000}" name="RowsOnly1"/>
    <tableColumn id="2" xr3:uid="{00000000-0010-0000-0100-000002000000}" name="RowsOnly2"/>
    <tableColumn id="3" xr3:uid="{00000000-0010-0000-0100-000003000000}" name="RowsOnly3"/>
    <tableColumn id="4" xr3:uid="{00000000-0010-0000-0100-000004000000}" name="RowsOnly4"/>
    <tableColumn id="5" xr3:uid="{00000000-0010-0000-0100-000005000000}" name="RowsOnly5"/>
    <tableColumn id="6" xr3:uid="{00000000-0010-0000-0100-000006000000}" name="RowsOnly6"/>
    <tableColumn id="7" xr3:uid="{00000000-0010-0000-0100-000007000000}" name="RowsOnly7"/>
  </tableColumns>
  <tableStyleInfo name="Fill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Header" displayName="NoHeader" ref="B21:E24" headerRowCount="0">
  <tableColumns count="4">
    <tableColumn id="1" xr3:uid="{00000000-0010-0000-0200-000001000000}" name="NoHeader1"/>
    <tableColumn id="2" xr3:uid="{00000000-0010-0000-0200-000002000000}" name="NoHeader2"/>
    <tableColumn id="3" xr3:uid="{00000000-0010-0000-0200-000003000000}" name="NoHeader3"/>
    <tableColumn id="4" xr3:uid="{00000000-0010-0000-0200-000004000000}" name="NoHeader4"/>
  </tableColumns>
  <tableStyleInfo name="Fills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neColumn" displayName="OneColumn" ref="B27:B31" totalsRowCount="1">
  <autoFilter ref="B27:B30" xr:uid="{00000000-0009-0000-0100-000004000000}"/>
  <tableColumns count="1">
    <tableColumn id="1" xr3:uid="{00000000-0010-0000-0300-000001000000}" name="OneColumn1" totalsRowLabel="Total"/>
  </tableColumns>
  <tableStyleInfo name="Fills" showFirstColumn="1" showLastColumn="1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zed" displayName="Sized" ref="K2:Q12">
  <autoFilter ref="K2:Q12" xr:uid="{00000000-0009-0000-0100-000005000000}"/>
  <tableColumns count="7">
    <tableColumn id="1" xr3:uid="{00000000-0010-0000-0400-000001000000}" name="Sized1"/>
    <tableColumn id="2" xr3:uid="{00000000-0010-0000-0400-000002000000}" name="Sized2"/>
    <tableColumn id="3" xr3:uid="{00000000-0010-0000-0400-000003000000}" name="Sized3"/>
    <tableColumn id="4" xr3:uid="{00000000-0010-0000-0400-000004000000}" name="Sized4"/>
    <tableColumn id="5" xr3:uid="{00000000-0010-0000-0400-000005000000}" name="Sized5"/>
    <tableColumn id="6" xr3:uid="{00000000-0010-0000-0400-000006000000}" name="Sized6"/>
    <tableColumn id="7" xr3:uid="{00000000-0010-0000-0400-000007000000}" name="Sized7"/>
  </tableColumns>
  <tableStyleInfo name="FillsSized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astOnly" displayName="LastOnly" ref="K15:N19" totalsRowCount="1">
  <autoFilter ref="K15:N18" xr:uid="{00000000-0009-0000-0100-000006000000}"/>
  <tableColumns count="4">
    <tableColumn id="1" xr3:uid="{00000000-0010-0000-0500-000001000000}" name="LastOnly1" totalsRowLabel="Total"/>
    <tableColumn id="2" xr3:uid="{00000000-0010-0000-0500-000002000000}" name="LastOnly2" totalsRowFunction="sum"/>
    <tableColumn id="3" xr3:uid="{00000000-0010-0000-0500-000003000000}" name="LastOnly3" totalsRowFunction="sum"/>
    <tableColumn id="4" xr3:uid="{00000000-0010-0000-0500-000004000000}" name="LastOnly4" totalsRowFunction="sum"/>
  </tableColumns>
  <tableStyleInfo name="Fills" showFirstColumn="0" showLastColumn="1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talsOnly" displayName="TotalsOnly" ref="K23:M26" headerRowCount="0" totalsRowCount="1">
  <tableColumns count="3">
    <tableColumn id="1" xr3:uid="{00000000-0010-0000-0600-000001000000}" name="TotalsOnly1" totalsRowLabel="Total"/>
    <tableColumn id="2" xr3:uid="{00000000-0010-0000-0600-000002000000}" name="TotalsOnly2" totalsRowFunction="sum"/>
    <tableColumn id="3" xr3:uid="{00000000-0010-0000-0600-000003000000}" name="TotalsOnly3" totalsRowFunction="sum"/>
  </tableColumns>
  <tableStyleInfo name="Fills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lumnsOnly" displayName="ColumnsOnly" ref="K29:P33" totalsRowCount="1">
  <autoFilter ref="K29:P32" xr:uid="{00000000-0009-0000-0100-000008000000}"/>
  <tableColumns count="6">
    <tableColumn id="1" xr3:uid="{00000000-0010-0000-0700-000001000000}" name="ColumnsOnly1" totalsRowLabel="Total"/>
    <tableColumn id="2" xr3:uid="{00000000-0010-0000-0700-000002000000}" name="ColumnsOnly2" totalsRowFunction="sum"/>
    <tableColumn id="3" xr3:uid="{00000000-0010-0000-0700-000003000000}" name="ColumnsOnly3" totalsRowFunction="sum"/>
    <tableColumn id="4" xr3:uid="{00000000-0010-0000-0700-000004000000}" name="ColumnsOnly4" totalsRowFunction="sum"/>
    <tableColumn id="5" xr3:uid="{00000000-0010-0000-0700-000005000000}" name="ColumnsOnly5" totalsRowFunction="sum"/>
    <tableColumn id="6" xr3:uid="{00000000-0010-0000-0700-000006000000}" name="ColumnsOnly6" totalsRowFunction="sum"/>
  </tableColumns>
  <tableStyleInfo name="Fills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inesAll" displayName="LinesAll" ref="B2:F9" totalsRowCount="1">
  <tableColumns count="5">
    <tableColumn id="1" xr3:uid="{00000000-0010-0000-0800-000001000000}" name="a"/>
    <tableColumn id="2" xr3:uid="{00000000-0010-0000-0800-000002000000}" name="b"/>
    <tableColumn id="3" xr3:uid="{00000000-0010-0000-0800-000003000000}" name="c"/>
    <tableColumn id="4" xr3:uid="{00000000-0010-0000-0800-000004000000}" name="d"/>
    <tableColumn id="5" xr3:uid="{00000000-0010-0000-0800-000005000000}" name="e"/>
  </tableColumns>
  <tableStyleInfo name="Lines" showFirstColumn="1" showLastColumn="1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inesRows" displayName="LinesRows" ref="B12:F16">
  <tableColumns count="5">
    <tableColumn id="1" xr3:uid="{00000000-0010-0000-0900-000001000000}" name="a"/>
    <tableColumn id="2" xr3:uid="{00000000-0010-0000-0900-000002000000}" name="b"/>
    <tableColumn id="3" xr3:uid="{00000000-0010-0000-0900-000003000000}" name="c"/>
    <tableColumn id="4" xr3:uid="{00000000-0010-0000-0900-000004000000}" name="d"/>
    <tableColumn id="5" xr3:uid="{00000000-0010-0000-0900-000005000000}" name="e"/>
  </tableColumns>
  <tableStyleInfo name="Line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inesNone" displayName="LinesNone" ref="B19:F23">
  <tableColumns count="5">
    <tableColumn id="1" xr3:uid="{00000000-0010-0000-0A00-000001000000}" name="a"/>
    <tableColumn id="2" xr3:uid="{00000000-0010-0000-0A00-000002000000}" name="b"/>
    <tableColumn id="3" xr3:uid="{00000000-0010-0000-0A00-000003000000}" name="c"/>
    <tableColumn id="4" xr3:uid="{00000000-0010-0000-0A00-000004000000}" name="d"/>
    <tableColumn id="5" xr3:uid="{00000000-0010-0000-0A00-000005000000}" name="e"/>
  </tableColumns>
  <tableStyleInfo name="Lines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lumnBanded" displayName="ColumnBanded" ref="I2:O7" totalsRowCount="1">
  <tableColumns count="7">
    <tableColumn id="1" xr3:uid="{00000000-0010-0000-0B00-000001000000}" name="a"/>
    <tableColumn id="2" xr3:uid="{00000000-0010-0000-0B00-000002000000}" name="b"/>
    <tableColumn id="3" xr3:uid="{00000000-0010-0000-0B00-000003000000}" name="c"/>
    <tableColumn id="4" xr3:uid="{00000000-0010-0000-0B00-000004000000}" name="d"/>
    <tableColumn id="5" xr3:uid="{00000000-0010-0000-0B00-000005000000}" name="e"/>
    <tableColumn id="6" xr3:uid="{00000000-0010-0000-0B00-000006000000}" name="f"/>
    <tableColumn id="7" xr3:uid="{00000000-0010-0000-0B00-000007000000}" name="g"/>
  </tableColumns>
  <tableStyleInfo name="ColumnBands" showFirstColumn="0" showLastColumn="0" showRowStripes="0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RowBanded" displayName="RowBanded" ref="I10:L17">
  <tableColumns count="4">
    <tableColumn id="1" xr3:uid="{00000000-0010-0000-0C00-000001000000}" name="a"/>
    <tableColumn id="2" xr3:uid="{00000000-0010-0000-0C00-000002000000}" name="b"/>
    <tableColumn id="3" xr3:uid="{00000000-0010-0000-0C00-000003000000}" name="c"/>
    <tableColumn id="4" xr3:uid="{00000000-0010-0000-0C00-000004000000}" name="d"/>
  </tableColumns>
  <tableStyleInfo name="RowBands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OwnEdges" displayName="OwnEdges" ref="I20:N24" totalsRowCount="1">
  <tableColumns count="6">
    <tableColumn id="1" xr3:uid="{00000000-0010-0000-0D00-000001000000}" name="a"/>
    <tableColumn id="2" xr3:uid="{00000000-0010-0000-0D00-000002000000}" name="b"/>
    <tableColumn id="3" xr3:uid="{00000000-0010-0000-0D00-000003000000}" name="c"/>
    <tableColumn id="4" xr3:uid="{00000000-0010-0000-0D00-000004000000}" name="d"/>
    <tableColumn id="5" xr3:uid="{00000000-0010-0000-0D00-000005000000}" name="e"/>
    <tableColumn id="6" xr3:uid="{00000000-0010-0000-0D00-000006000000}" name="f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edium" displayName="Medium" ref="B2:Q7" totalsRowCount="1">
  <autoFilter ref="B2:Q6" xr:uid="{00000000-0009-0000-0100-00000F000000}"/>
  <tableColumns count="16">
    <tableColumn id="1" xr3:uid="{00000000-0010-0000-0E00-000001000000}" name="Medium1" totalsRowLabel="Total"/>
    <tableColumn id="2" xr3:uid="{00000000-0010-0000-0E00-000002000000}" name="Medium2" totalsRowFunction="sum"/>
    <tableColumn id="3" xr3:uid="{00000000-0010-0000-0E00-000003000000}" name="Medium3" totalsRowFunction="sum"/>
    <tableColumn id="4" xr3:uid="{00000000-0010-0000-0E00-000004000000}" name="Medium4" totalsRowFunction="sum"/>
    <tableColumn id="5" xr3:uid="{00000000-0010-0000-0E00-000005000000}" name="Medium5" totalsRowFunction="sum"/>
    <tableColumn id="6" xr3:uid="{00000000-0010-0000-0E00-000006000000}" name="Medium6" totalsRowFunction="sum"/>
    <tableColumn id="7" xr3:uid="{00000000-0010-0000-0E00-000007000000}" name="Medium7" totalsRowFunction="sum"/>
    <tableColumn id="8" xr3:uid="{00000000-0010-0000-0E00-000008000000}" name="Medium8" totalsRowFunction="sum"/>
    <tableColumn id="9" xr3:uid="{00000000-0010-0000-0E00-000009000000}" name="Medium9" totalsRowFunction="sum"/>
    <tableColumn id="10" xr3:uid="{00000000-0010-0000-0E00-00000A000000}" name="Medium10" totalsRowFunction="sum"/>
    <tableColumn id="11" xr3:uid="{00000000-0010-0000-0E00-00000B000000}" name="Medium11" totalsRowFunction="sum"/>
    <tableColumn id="12" xr3:uid="{00000000-0010-0000-0E00-00000C000000}" name="Medium12" totalsRowFunction="sum"/>
    <tableColumn id="13" xr3:uid="{00000000-0010-0000-0E00-00000D000000}" name="Medium13" totalsRowFunction="sum"/>
    <tableColumn id="14" xr3:uid="{00000000-0010-0000-0E00-00000E000000}" name="Medium14" totalsRowFunction="sum"/>
    <tableColumn id="15" xr3:uid="{00000000-0010-0000-0E00-00000F000000}" name="Medium15" totalsRowFunction="sum"/>
    <tableColumn id="16" xr3:uid="{00000000-0010-0000-0E00-000010000000}" name="Medium16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ark" displayName="Dark" ref="B10:Q15" totalsRowCount="1">
  <autoFilter ref="B10:Q14" xr:uid="{00000000-0009-0000-0100-000010000000}"/>
  <tableColumns count="16">
    <tableColumn id="1" xr3:uid="{00000000-0010-0000-0F00-000001000000}" name="Dark1" totalsRowLabel="Total"/>
    <tableColumn id="2" xr3:uid="{00000000-0010-0000-0F00-000002000000}" name="Dark2" totalsRowFunction="sum"/>
    <tableColumn id="3" xr3:uid="{00000000-0010-0000-0F00-000003000000}" name="Dark3" totalsRowFunction="sum"/>
    <tableColumn id="4" xr3:uid="{00000000-0010-0000-0F00-000004000000}" name="Dark4" totalsRowFunction="sum"/>
    <tableColumn id="5" xr3:uid="{00000000-0010-0000-0F00-000005000000}" name="Dark5" totalsRowFunction="sum"/>
    <tableColumn id="6" xr3:uid="{00000000-0010-0000-0F00-000006000000}" name="Dark6" totalsRowFunction="sum"/>
    <tableColumn id="7" xr3:uid="{00000000-0010-0000-0F00-000007000000}" name="Dark7" totalsRowFunction="sum"/>
    <tableColumn id="8" xr3:uid="{00000000-0010-0000-0F00-000008000000}" name="Dark8" totalsRowFunction="sum"/>
    <tableColumn id="9" xr3:uid="{00000000-0010-0000-0F00-000009000000}" name="Dark9" totalsRowFunction="sum"/>
    <tableColumn id="10" xr3:uid="{00000000-0010-0000-0F00-00000A000000}" name="Dark10" totalsRowFunction="sum"/>
    <tableColumn id="11" xr3:uid="{00000000-0010-0000-0F00-00000B000000}" name="Dark11" totalsRowFunction="sum"/>
    <tableColumn id="12" xr3:uid="{00000000-0010-0000-0F00-00000C000000}" name="Dark12" totalsRowFunction="sum"/>
    <tableColumn id="13" xr3:uid="{00000000-0010-0000-0F00-00000D000000}" name="Dark13" totalsRowFunction="sum"/>
    <tableColumn id="14" xr3:uid="{00000000-0010-0000-0F00-00000E000000}" name="Dark14" totalsRowFunction="sum"/>
    <tableColumn id="15" xr3:uid="{00000000-0010-0000-0F00-00000F000000}" name="Dark15" totalsRowFunction="sum"/>
    <tableColumn id="16" xr3:uid="{00000000-0010-0000-0F00-000010000000}" name="Dark16" totalsRowFunction="sum"/>
  </tableColumns>
  <tableStyleInfo name="TableStyleDark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Light" displayName="Light" ref="B18:Q23" totalsRowCount="1">
  <autoFilter ref="B18:Q22" xr:uid="{00000000-0009-0000-0100-000011000000}"/>
  <tableColumns count="16">
    <tableColumn id="1" xr3:uid="{00000000-0010-0000-1000-000001000000}" name="Light1" totalsRowLabel="Total"/>
    <tableColumn id="2" xr3:uid="{00000000-0010-0000-1000-000002000000}" name="Light2" totalsRowFunction="sum"/>
    <tableColumn id="3" xr3:uid="{00000000-0010-0000-1000-000003000000}" name="Light3" totalsRowFunction="sum"/>
    <tableColumn id="4" xr3:uid="{00000000-0010-0000-1000-000004000000}" name="Light4" totalsRowFunction="sum"/>
    <tableColumn id="5" xr3:uid="{00000000-0010-0000-1000-000005000000}" name="Light5" totalsRowFunction="sum"/>
    <tableColumn id="6" xr3:uid="{00000000-0010-0000-1000-000006000000}" name="Light6" totalsRowFunction="sum"/>
    <tableColumn id="7" xr3:uid="{00000000-0010-0000-1000-000007000000}" name="Light7" totalsRowFunction="sum"/>
    <tableColumn id="8" xr3:uid="{00000000-0010-0000-1000-000008000000}" name="Light8" totalsRowFunction="sum"/>
    <tableColumn id="9" xr3:uid="{00000000-0010-0000-1000-000009000000}" name="Light9" totalsRowFunction="sum"/>
    <tableColumn id="10" xr3:uid="{00000000-0010-0000-1000-00000A000000}" name="Light10" totalsRowFunction="sum"/>
    <tableColumn id="11" xr3:uid="{00000000-0010-0000-1000-00000B000000}" name="Light11" totalsRowFunction="sum"/>
    <tableColumn id="12" xr3:uid="{00000000-0010-0000-1000-00000C000000}" name="Light12" totalsRowFunction="sum"/>
    <tableColumn id="13" xr3:uid="{00000000-0010-0000-1000-00000D000000}" name="Light13" totalsRowFunction="sum"/>
    <tableColumn id="14" xr3:uid="{00000000-0010-0000-1000-00000E000000}" name="Light14" totalsRowFunction="sum"/>
    <tableColumn id="15" xr3:uid="{00000000-0010-0000-1000-00000F000000}" name="Light15" totalsRowFunction="sum"/>
    <tableColumn id="16" xr3:uid="{00000000-0010-0000-1000-000010000000}" name="Light16" totalsRowFunction="sum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nts" displayName="Fonts" ref="B26:E28">
  <autoFilter ref="B26:E28" xr:uid="{00000000-0009-0000-0100-000012000000}"/>
  <tableColumns count="4">
    <tableColumn id="1" xr3:uid="{00000000-0010-0000-1100-000001000000}" name="Fonts1"/>
    <tableColumn id="2" xr3:uid="{00000000-0010-0000-1100-000002000000}" name="Fonts2"/>
    <tableColumn id="3" xr3:uid="{00000000-0010-0000-1100-000003000000}" name="Fonts3"/>
    <tableColumn id="4" xr3:uid="{00000000-0010-0000-1100-000004000000}" name="Fonts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Unstyled" displayName="Unstyled" ref="H26:J28">
  <autoFilter ref="H26:J28" xr:uid="{00000000-0009-0000-0100-000013000000}"/>
  <tableColumns count="3">
    <tableColumn id="1" xr3:uid="{00000000-0010-0000-1200-000001000000}" name="Unstyled1"/>
    <tableColumn id="2" xr3:uid="{00000000-0010-0000-1200-000002000000}" name="Unstyled2"/>
    <tableColumn id="3" xr3:uid="{00000000-0010-0000-1200-000003000000}" name="Unstyled3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BandedRows" displayName="BandedRows" ref="B2:E12">
  <autoFilter ref="B2:E12" xr:uid="{00000000-0009-0000-0100-000014000000}"/>
  <tableColumns count="4">
    <tableColumn id="1" xr3:uid="{00000000-0010-0000-1300-000001000000}" name="BandedRows1"/>
    <tableColumn id="2" xr3:uid="{00000000-0010-0000-1300-000002000000}" name="BandedRows2"/>
    <tableColumn id="3" xr3:uid="{00000000-0010-0000-1300-000003000000}" name="BandedRows3"/>
    <tableColumn id="4" xr3:uid="{00000000-0010-0000-1300-000004000000}" name="BandedRows4"/>
  </tableColumns>
  <tableStyleInfo name="Fills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ndedColumns" displayName="BandedColumns" ref="H2:M5">
  <autoFilter ref="H2:M5" xr:uid="{00000000-0009-0000-0100-000015000000}"/>
  <tableColumns count="6">
    <tableColumn id="1" xr3:uid="{00000000-0010-0000-1400-000001000000}" name="BandedColumns1"/>
    <tableColumn id="2" xr3:uid="{00000000-0010-0000-1400-000002000000}" name="BandedColumns2"/>
    <tableColumn id="3" xr3:uid="{00000000-0010-0000-1400-000003000000}" name="BandedColumns3"/>
    <tableColumn id="4" xr3:uid="{00000000-0010-0000-1400-000004000000}" name="BandedColumns4"/>
    <tableColumn id="5" xr3:uid="{00000000-0010-0000-1400-000005000000}" name="BandedColumns5"/>
    <tableColumn id="6" xr3:uid="{00000000-0010-0000-1400-000006000000}" name="BandedColumns6"/>
  </tableColumns>
  <tableStyleInfo name="Fills" showFirstColumn="0" showLastColumn="0" showRowStripes="0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Light1" displayName="Light1" ref="B2:D7" totalsRowCount="1">
  <tableColumns count="3">
    <tableColumn id="1" xr3:uid="{00000000-0010-0000-1500-000001000000}" name="a"/>
    <tableColumn id="2" xr3:uid="{00000000-0010-0000-1500-000002000000}" name="b"/>
    <tableColumn id="3" xr3:uid="{00000000-0010-0000-1500-000003000000}" name="c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Light2" displayName="Light2" ref="F2:H7" totalsRowCount="1">
  <tableColumns count="3">
    <tableColumn id="1" xr3:uid="{00000000-0010-0000-1600-000001000000}" name="a"/>
    <tableColumn id="2" xr3:uid="{00000000-0010-0000-1600-000002000000}" name="b"/>
    <tableColumn id="3" xr3:uid="{00000000-0010-0000-1600-000003000000}" name="c"/>
  </tableColumns>
  <tableStyleInfo name="TableStyleLight2" showFirstColumn="1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Light3" displayName="Light3" ref="J2:L7" totalsRowCount="1">
  <tableColumns count="3">
    <tableColumn id="1" xr3:uid="{00000000-0010-0000-1700-000001000000}" name="a"/>
    <tableColumn id="2" xr3:uid="{00000000-0010-0000-1700-000002000000}" name="b"/>
    <tableColumn id="3" xr3:uid="{00000000-0010-0000-1700-000003000000}" name="c"/>
  </tableColumns>
  <tableStyleInfo name="TableStyleLight3" showFirstColumn="0" showLastColumn="1" showRowStripes="0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Light4" displayName="Light4" ref="N2:P7" totalsRowCount="1">
  <tableColumns count="3">
    <tableColumn id="1" xr3:uid="{00000000-0010-0000-1800-000001000000}" name="a"/>
    <tableColumn id="2" xr3:uid="{00000000-0010-0000-1800-000002000000}" name="b"/>
    <tableColumn id="3" xr3:uid="{00000000-0010-0000-1800-000003000000}" name="c"/>
  </tableColumns>
  <tableStyleInfo name="TableStyleLight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Light5" displayName="Light5" ref="R2:T7" totalsRowCount="1">
  <tableColumns count="3">
    <tableColumn id="1" xr3:uid="{00000000-0010-0000-1900-000001000000}" name="a"/>
    <tableColumn id="2" xr3:uid="{00000000-0010-0000-1900-000002000000}" name="b"/>
    <tableColumn id="3" xr3:uid="{00000000-0010-0000-1900-000003000000}" name="c"/>
  </tableColumns>
  <tableStyleInfo name="TableStyleLight5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Light6" displayName="Light6" ref="V2:X7" totalsRowCount="1">
  <tableColumns count="3">
    <tableColumn id="1" xr3:uid="{00000000-0010-0000-1A00-000001000000}" name="a"/>
    <tableColumn id="2" xr3:uid="{00000000-0010-0000-1A00-000002000000}" name="b"/>
    <tableColumn id="3" xr3:uid="{00000000-0010-0000-1A00-000003000000}" name="c"/>
  </tableColumns>
  <tableStyleInfo name="TableStyleLight6" showFirstColumn="1" showLastColumn="0" showRowStripes="0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Light7" displayName="Light7" ref="B10:D15" totalsRowCount="1">
  <tableColumns count="3">
    <tableColumn id="1" xr3:uid="{00000000-0010-0000-1B00-000001000000}" name="a"/>
    <tableColumn id="2" xr3:uid="{00000000-0010-0000-1B00-000002000000}" name="b"/>
    <tableColumn id="3" xr3:uid="{00000000-0010-0000-1B00-000003000000}" name="c"/>
  </tableColumns>
  <tableStyleInfo name="TableStyleLight7" showFirstColumn="0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Light8" displayName="Light8" ref="F10:H15" totalsRowCount="1">
  <tableColumns count="3">
    <tableColumn id="1" xr3:uid="{00000000-0010-0000-1C00-000001000000}" name="a"/>
    <tableColumn id="2" xr3:uid="{00000000-0010-0000-1C00-000002000000}" name="b"/>
    <tableColumn id="3" xr3:uid="{00000000-0010-0000-1C00-000003000000}" name="c"/>
  </tableColumns>
  <tableStyleInfo name="TableStyleLight8" showFirstColumn="1" showLastColumn="1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Light9" displayName="Light9" ref="J10:L15" totalsRowCount="1">
  <tableColumns count="3">
    <tableColumn id="1" xr3:uid="{00000000-0010-0000-1D00-000001000000}" name="a"/>
    <tableColumn id="2" xr3:uid="{00000000-0010-0000-1D00-000002000000}" name="b"/>
    <tableColumn id="3" xr3:uid="{00000000-0010-0000-1D00-000003000000}" name="c"/>
  </tableColumns>
  <tableStyleInfo name="TableStyleLight9" showFirstColumn="0" showLastColumn="0" showRowStripes="0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Light10" displayName="Light10" ref="N10:P15" totalsRowCount="1">
  <tableColumns count="3">
    <tableColumn id="1" xr3:uid="{00000000-0010-0000-1E00-000001000000}" name="a"/>
    <tableColumn id="2" xr3:uid="{00000000-0010-0000-1E00-000002000000}" name="b"/>
    <tableColumn id="3" xr3:uid="{00000000-0010-0000-1E00-000003000000}" name="c"/>
  </tableColumns>
  <tableStyleInfo name="TableStyleLight10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Light11" displayName="Light11" ref="R10:T15" totalsRowCount="1">
  <tableColumns count="3">
    <tableColumn id="1" xr3:uid="{00000000-0010-0000-1F00-000001000000}" name="a"/>
    <tableColumn id="2" xr3:uid="{00000000-0010-0000-1F00-000002000000}" name="b"/>
    <tableColumn id="3" xr3:uid="{00000000-0010-0000-1F00-000003000000}" name="c"/>
  </tableColumns>
  <tableStyleInfo name="TableStyleLight11" showFirstColumn="0" showLastColumn="1" showRowStripes="1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Light12" displayName="Light12" ref="V10:X15" totalsRowCount="1">
  <tableColumns count="3">
    <tableColumn id="1" xr3:uid="{00000000-0010-0000-2000-000001000000}" name="a"/>
    <tableColumn id="2" xr3:uid="{00000000-0010-0000-2000-000002000000}" name="b"/>
    <tableColumn id="3" xr3:uid="{00000000-0010-0000-2000-000003000000}" name="c"/>
  </tableColumns>
  <tableStyleInfo name="TableStyleLight12" showFirstColumn="1" showLastColumn="1" showRowStripes="0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Light13" displayName="Light13" ref="B18:D23" totalsRowCount="1">
  <tableColumns count="3">
    <tableColumn id="1" xr3:uid="{00000000-0010-0000-2100-000001000000}" name="a"/>
    <tableColumn id="2" xr3:uid="{00000000-0010-0000-2100-000002000000}" name="b"/>
    <tableColumn id="3" xr3:uid="{00000000-0010-0000-2100-000003000000}" name="c"/>
  </tableColumns>
  <tableStyleInfo name="TableStyleLight1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Light14" displayName="Light14" ref="F18:H23" totalsRowCount="1">
  <tableColumns count="3">
    <tableColumn id="1" xr3:uid="{00000000-0010-0000-2200-000001000000}" name="a"/>
    <tableColumn id="2" xr3:uid="{00000000-0010-0000-2200-000002000000}" name="b"/>
    <tableColumn id="3" xr3:uid="{00000000-0010-0000-2200-000003000000}" name="c"/>
  </tableColumns>
  <tableStyleInfo name="TableStyleLight14" showFirstColumn="1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Light15" displayName="Light15" ref="J18:L23" totalsRowCount="1">
  <tableColumns count="3">
    <tableColumn id="1" xr3:uid="{00000000-0010-0000-2300-000001000000}" name="a"/>
    <tableColumn id="2" xr3:uid="{00000000-0010-0000-2300-000002000000}" name="b"/>
    <tableColumn id="3" xr3:uid="{00000000-0010-0000-2300-000003000000}" name="c"/>
  </tableColumns>
  <tableStyleInfo name="TableStyleLight15" showFirstColumn="0" showLastColumn="1" showRowStripes="0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Light16" displayName="Light16" ref="N18:P23" totalsRowCount="1">
  <tableColumns count="3">
    <tableColumn id="1" xr3:uid="{00000000-0010-0000-2400-000001000000}" name="a"/>
    <tableColumn id="2" xr3:uid="{00000000-0010-0000-2400-000002000000}" name="b"/>
    <tableColumn id="3" xr3:uid="{00000000-0010-0000-2400-000003000000}" name="c"/>
  </tableColumns>
  <tableStyleInfo name="TableStyleLight16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Light17" displayName="Light17" ref="R18:T23" totalsRowCount="1">
  <tableColumns count="3">
    <tableColumn id="1" xr3:uid="{00000000-0010-0000-2500-000001000000}" name="a"/>
    <tableColumn id="2" xr3:uid="{00000000-0010-0000-2500-000002000000}" name="b"/>
    <tableColumn id="3" xr3:uid="{00000000-0010-0000-2500-000003000000}" name="c"/>
  </tableColumns>
  <tableStyleInfo name="TableStyleLight17" showFirstColumn="0" showLastColumn="0" showRowStripes="1" showColumnStripes="1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Light18" displayName="Light18" ref="V18:X23" totalsRowCount="1">
  <tableColumns count="3">
    <tableColumn id="1" xr3:uid="{00000000-0010-0000-2600-000001000000}" name="a"/>
    <tableColumn id="2" xr3:uid="{00000000-0010-0000-2600-000002000000}" name="b"/>
    <tableColumn id="3" xr3:uid="{00000000-0010-0000-2600-000003000000}" name="c"/>
  </tableColumns>
  <tableStyleInfo name="TableStyleLight18" showFirstColumn="1" showLastColumn="0" showRowStripes="0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Light19" displayName="Light19" ref="B26:D31" totalsRowCount="1">
  <tableColumns count="3">
    <tableColumn id="1" xr3:uid="{00000000-0010-0000-2700-000001000000}" name="a"/>
    <tableColumn id="2" xr3:uid="{00000000-0010-0000-2700-000002000000}" name="b"/>
    <tableColumn id="3" xr3:uid="{00000000-0010-0000-2700-000003000000}" name="c"/>
  </tableColumns>
  <tableStyleInfo name="TableStyleLight19" showFirstColumn="0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Light20" displayName="Light20" ref="F26:H31" totalsRowCount="1">
  <tableColumns count="3">
    <tableColumn id="1" xr3:uid="{00000000-0010-0000-2800-000001000000}" name="a"/>
    <tableColumn id="2" xr3:uid="{00000000-0010-0000-2800-000002000000}" name="b"/>
    <tableColumn id="3" xr3:uid="{00000000-0010-0000-2800-000003000000}" name="c"/>
  </tableColumns>
  <tableStyleInfo name="TableStyleLight20" showFirstColumn="1" showLastColumn="1" showRowStripes="1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Light21" displayName="Light21" ref="J26:L31" totalsRowCount="1">
  <tableColumns count="3">
    <tableColumn id="1" xr3:uid="{00000000-0010-0000-2900-000001000000}" name="a"/>
    <tableColumn id="2" xr3:uid="{00000000-0010-0000-2900-000002000000}" name="b"/>
    <tableColumn id="3" xr3:uid="{00000000-0010-0000-2900-000003000000}" name="c"/>
  </tableColumns>
  <tableStyleInfo name="TableStyleLight21" showFirstColumn="0" showLastColumn="0" showRowStripes="0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Medium1" displayName="Medium1" ref="N26:P31" totalsRowCount="1">
  <tableColumns count="3">
    <tableColumn id="1" xr3:uid="{00000000-0010-0000-2A00-000001000000}" name="a"/>
    <tableColumn id="2" xr3:uid="{00000000-0010-0000-2A00-000002000000}" name="b"/>
    <tableColumn id="3" xr3:uid="{00000000-0010-0000-2A00-000003000000}" name="c"/>
  </tableColumns>
  <tableStyleInfo name="TableStyleMedium1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Medium2" displayName="Medium2" ref="R26:T31" totalsRowCount="1">
  <tableColumns count="3">
    <tableColumn id="1" xr3:uid="{00000000-0010-0000-2B00-000001000000}" name="a"/>
    <tableColumn id="2" xr3:uid="{00000000-0010-0000-2B00-000002000000}" name="b"/>
    <tableColumn id="3" xr3:uid="{00000000-0010-0000-2B00-000003000000}" name="c"/>
  </tableColumns>
  <tableStyleInfo name="TableStyleMedium2" showFirstColumn="0" showLastColumn="1" showRowStripes="1" showColumnStripes="1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Medium3" displayName="Medium3" ref="V26:X31" totalsRowCount="1">
  <tableColumns count="3">
    <tableColumn id="1" xr3:uid="{00000000-0010-0000-2C00-000001000000}" name="a"/>
    <tableColumn id="2" xr3:uid="{00000000-0010-0000-2C00-000002000000}" name="b"/>
    <tableColumn id="3" xr3:uid="{00000000-0010-0000-2C00-000003000000}" name="c"/>
  </tableColumns>
  <tableStyleInfo name="TableStyleMedium3" showFirstColumn="1" showLastColumn="1" showRowStripes="0" showColumnStripes="1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Medium4" displayName="Medium4" ref="B34:D39" totalsRowCount="1">
  <tableColumns count="3">
    <tableColumn id="1" xr3:uid="{00000000-0010-0000-2D00-000001000000}" name="a"/>
    <tableColumn id="2" xr3:uid="{00000000-0010-0000-2D00-000002000000}" name="b"/>
    <tableColumn id="3" xr3:uid="{00000000-0010-0000-2D00-000003000000}" name="c"/>
  </tableColumns>
  <tableStyleInfo name="TableStyleMedium4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Medium5" displayName="Medium5" ref="F34:H39" totalsRowCount="1">
  <tableColumns count="3">
    <tableColumn id="1" xr3:uid="{00000000-0010-0000-2E00-000001000000}" name="a"/>
    <tableColumn id="2" xr3:uid="{00000000-0010-0000-2E00-000002000000}" name="b"/>
    <tableColumn id="3" xr3:uid="{00000000-0010-0000-2E00-000003000000}" name="c"/>
  </tableColumns>
  <tableStyleInfo name="TableStyleMedium5" showFirstColumn="1" showLastColumn="0" showRowStripes="1" showColumnStripes="1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Medium6" displayName="Medium6" ref="J34:L39" totalsRowCount="1">
  <tableColumns count="3">
    <tableColumn id="1" xr3:uid="{00000000-0010-0000-2F00-000001000000}" name="a"/>
    <tableColumn id="2" xr3:uid="{00000000-0010-0000-2F00-000002000000}" name="b"/>
    <tableColumn id="3" xr3:uid="{00000000-0010-0000-2F00-000003000000}" name="c"/>
  </tableColumns>
  <tableStyleInfo name="TableStyleMedium6" showFirstColumn="0" showLastColumn="1" showRowStripes="0" showColumnStripes="1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Medium7" displayName="Medium7" ref="N34:P39" totalsRowCount="1">
  <tableColumns count="3">
    <tableColumn id="1" xr3:uid="{00000000-0010-0000-3000-000001000000}" name="a"/>
    <tableColumn id="2" xr3:uid="{00000000-0010-0000-3000-000002000000}" name="b"/>
    <tableColumn id="3" xr3:uid="{00000000-0010-0000-3000-000003000000}" name="c"/>
  </tableColumns>
  <tableStyleInfo name="TableStyleMedium7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Medium8" displayName="Medium8" ref="R34:T39" totalsRowCount="1">
  <tableColumns count="3">
    <tableColumn id="1" xr3:uid="{00000000-0010-0000-3100-000001000000}" name="a"/>
    <tableColumn id="2" xr3:uid="{00000000-0010-0000-3100-000002000000}" name="b"/>
    <tableColumn id="3" xr3:uid="{00000000-0010-0000-3100-000003000000}" name="c"/>
  </tableColumns>
  <tableStyleInfo name="TableStyleMedium8" showFirstColumn="0" showLastColumn="0" showRowStripes="1" showColumnStripes="1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Medium9" displayName="Medium9" ref="V34:X39" totalsRowCount="1">
  <tableColumns count="3">
    <tableColumn id="1" xr3:uid="{00000000-0010-0000-3200-000001000000}" name="a"/>
    <tableColumn id="2" xr3:uid="{00000000-0010-0000-3200-000002000000}" name="b"/>
    <tableColumn id="3" xr3:uid="{00000000-0010-0000-3200-000003000000}" name="c"/>
  </tableColumns>
  <tableStyleInfo name="TableStyleMedium9" showFirstColumn="1" showLastColumn="0" showRowStripes="0" showColumnStripes="1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Medium10" displayName="Medium10" ref="B42:D47" totalsRowCount="1">
  <tableColumns count="3">
    <tableColumn id="1" xr3:uid="{00000000-0010-0000-3300-000001000000}" name="a"/>
    <tableColumn id="2" xr3:uid="{00000000-0010-0000-3300-000002000000}" name="b"/>
    <tableColumn id="3" xr3:uid="{00000000-0010-0000-3300-000003000000}" name="c"/>
  </tableColumns>
  <tableStyleInfo name="TableStyleMedium10" showFirstColumn="0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Medium11" displayName="Medium11" ref="F42:H47" totalsRowCount="1">
  <tableColumns count="3">
    <tableColumn id="1" xr3:uid="{00000000-0010-0000-3400-000001000000}" name="a"/>
    <tableColumn id="2" xr3:uid="{00000000-0010-0000-3400-000002000000}" name="b"/>
    <tableColumn id="3" xr3:uid="{00000000-0010-0000-3400-000003000000}" name="c"/>
  </tableColumns>
  <tableStyleInfo name="TableStyleMedium11" showFirstColumn="1" showLastColumn="1" showRowStripes="1" showColumnStripes="1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Medium12" displayName="Medium12" ref="J42:L47" totalsRowCount="1">
  <tableColumns count="3">
    <tableColumn id="1" xr3:uid="{00000000-0010-0000-3500-000001000000}" name="a"/>
    <tableColumn id="2" xr3:uid="{00000000-0010-0000-3500-000002000000}" name="b"/>
    <tableColumn id="3" xr3:uid="{00000000-0010-0000-3500-000003000000}" name="c"/>
  </tableColumns>
  <tableStyleInfo name="TableStyleMedium12" showFirstColumn="0" showLastColumn="0" showRowStripes="0" showColumnStripes="1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Medium13" displayName="Medium13" ref="N42:P47" totalsRowCount="1">
  <tableColumns count="3">
    <tableColumn id="1" xr3:uid="{00000000-0010-0000-3600-000001000000}" name="a"/>
    <tableColumn id="2" xr3:uid="{00000000-0010-0000-3600-000002000000}" name="b"/>
    <tableColumn id="3" xr3:uid="{00000000-0010-0000-3600-000003000000}" name="c"/>
  </tableColumns>
  <tableStyleInfo name="TableStyleMedium13"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Medium14" displayName="Medium14" ref="R42:T47" totalsRowCount="1">
  <tableColumns count="3">
    <tableColumn id="1" xr3:uid="{00000000-0010-0000-3700-000001000000}" name="a"/>
    <tableColumn id="2" xr3:uid="{00000000-0010-0000-3700-000002000000}" name="b"/>
    <tableColumn id="3" xr3:uid="{00000000-0010-0000-3700-000003000000}" name="c"/>
  </tableColumns>
  <tableStyleInfo name="TableStyleMedium14" showFirstColumn="0" showLastColumn="1" showRowStripes="1" showColumnStripes="1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Medium15" displayName="Medium15" ref="V42:X47" totalsRowCount="1">
  <tableColumns count="3">
    <tableColumn id="1" xr3:uid="{00000000-0010-0000-3800-000001000000}" name="a"/>
    <tableColumn id="2" xr3:uid="{00000000-0010-0000-3800-000002000000}" name="b"/>
    <tableColumn id="3" xr3:uid="{00000000-0010-0000-3800-000003000000}" name="c"/>
  </tableColumns>
  <tableStyleInfo name="TableStyleMedium15" showFirstColumn="1" showLastColumn="1" showRowStripes="0" showColumnStripes="1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Medium16" displayName="Medium16" ref="B50:D55" totalsRowCount="1">
  <tableColumns count="3">
    <tableColumn id="1" xr3:uid="{00000000-0010-0000-3900-000001000000}" name="a"/>
    <tableColumn id="2" xr3:uid="{00000000-0010-0000-3900-000002000000}" name="b"/>
    <tableColumn id="3" xr3:uid="{00000000-0010-0000-3900-000003000000}" name="c"/>
  </tableColumns>
  <tableStyleInfo name="TableStyleMedium16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Medium17" displayName="Medium17" ref="F50:H55" totalsRowCount="1">
  <tableColumns count="3">
    <tableColumn id="1" xr3:uid="{00000000-0010-0000-3A00-000001000000}" name="a"/>
    <tableColumn id="2" xr3:uid="{00000000-0010-0000-3A00-000002000000}" name="b"/>
    <tableColumn id="3" xr3:uid="{00000000-0010-0000-3A00-000003000000}" name="c"/>
  </tableColumns>
  <tableStyleInfo name="TableStyleMedium17" showFirstColumn="1" showLastColumn="0" showRowStripes="1" showColumnStripes="1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Medium18" displayName="Medium18" ref="J50:L55" totalsRowCount="1">
  <tableColumns count="3">
    <tableColumn id="1" xr3:uid="{00000000-0010-0000-3B00-000001000000}" name="a"/>
    <tableColumn id="2" xr3:uid="{00000000-0010-0000-3B00-000002000000}" name="b"/>
    <tableColumn id="3" xr3:uid="{00000000-0010-0000-3B00-000003000000}" name="c"/>
  </tableColumns>
  <tableStyleInfo name="TableStyleMedium18" showFirstColumn="0" showLastColumn="1" showRowStripes="0" showColumnStripes="1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Medium19" displayName="Medium19" ref="N50:P55" totalsRowCount="1">
  <tableColumns count="3">
    <tableColumn id="1" xr3:uid="{00000000-0010-0000-3C00-000001000000}" name="a"/>
    <tableColumn id="2" xr3:uid="{00000000-0010-0000-3C00-000002000000}" name="b"/>
    <tableColumn id="3" xr3:uid="{00000000-0010-0000-3C00-000003000000}" name="c"/>
  </tableColumns>
  <tableStyleInfo name="TableStyleMedium19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Medium20" displayName="Medium20" ref="R50:T55" totalsRowCount="1">
  <tableColumns count="3">
    <tableColumn id="1" xr3:uid="{00000000-0010-0000-3D00-000001000000}" name="a"/>
    <tableColumn id="2" xr3:uid="{00000000-0010-0000-3D00-000002000000}" name="b"/>
    <tableColumn id="3" xr3:uid="{00000000-0010-0000-3D00-000003000000}" name="c"/>
  </tableColumns>
  <tableStyleInfo name="TableStyleMedium20" showFirstColumn="0" showLastColumn="0" showRowStripes="1" showColumnStripes="1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Medium21" displayName="Medium21" ref="V50:X55" totalsRowCount="1">
  <tableColumns count="3">
    <tableColumn id="1" xr3:uid="{00000000-0010-0000-3E00-000001000000}" name="a"/>
    <tableColumn id="2" xr3:uid="{00000000-0010-0000-3E00-000002000000}" name="b"/>
    <tableColumn id="3" xr3:uid="{00000000-0010-0000-3E00-000003000000}" name="c"/>
  </tableColumns>
  <tableStyleInfo name="TableStyleMedium21" showFirstColumn="1" showLastColumn="0" showRowStripes="0" showColumnStripes="1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Medium22" displayName="Medium22" ref="B58:D63" totalsRowCount="1">
  <tableColumns count="3">
    <tableColumn id="1" xr3:uid="{00000000-0010-0000-3F00-000001000000}" name="a"/>
    <tableColumn id="2" xr3:uid="{00000000-0010-0000-3F00-000002000000}" name="b"/>
    <tableColumn id="3" xr3:uid="{00000000-0010-0000-3F00-000003000000}" name="c"/>
  </tableColumns>
  <tableStyleInfo name="TableStyleMedium22" showFirstColumn="0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Medium23" displayName="Medium23" ref="F58:H63" totalsRowCount="1">
  <tableColumns count="3">
    <tableColumn id="1" xr3:uid="{00000000-0010-0000-4000-000001000000}" name="a"/>
    <tableColumn id="2" xr3:uid="{00000000-0010-0000-4000-000002000000}" name="b"/>
    <tableColumn id="3" xr3:uid="{00000000-0010-0000-4000-000003000000}" name="c"/>
  </tableColumns>
  <tableStyleInfo name="TableStyleMedium23" showFirstColumn="1" showLastColumn="1" showRowStripes="1" showColumnStripes="1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Medium24" displayName="Medium24" ref="J58:L63" totalsRowCount="1">
  <tableColumns count="3">
    <tableColumn id="1" xr3:uid="{00000000-0010-0000-4100-000001000000}" name="a"/>
    <tableColumn id="2" xr3:uid="{00000000-0010-0000-4100-000002000000}" name="b"/>
    <tableColumn id="3" xr3:uid="{00000000-0010-0000-4100-000003000000}" name="c"/>
  </tableColumns>
  <tableStyleInfo name="TableStyleMedium24" showFirstColumn="0" showLastColumn="0" showRowStripes="0" showColumnStripes="1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Medium25" displayName="Medium25" ref="N58:P63" totalsRowCount="1">
  <tableColumns count="3">
    <tableColumn id="1" xr3:uid="{00000000-0010-0000-4200-000001000000}" name="a"/>
    <tableColumn id="2" xr3:uid="{00000000-0010-0000-4200-000002000000}" name="b"/>
    <tableColumn id="3" xr3:uid="{00000000-0010-0000-4200-000003000000}" name="c"/>
  </tableColumns>
  <tableStyleInfo name="TableStyleMedium25"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Medium26" displayName="Medium26" ref="R58:T63" totalsRowCount="1">
  <tableColumns count="3">
    <tableColumn id="1" xr3:uid="{00000000-0010-0000-4300-000001000000}" name="a"/>
    <tableColumn id="2" xr3:uid="{00000000-0010-0000-4300-000002000000}" name="b"/>
    <tableColumn id="3" xr3:uid="{00000000-0010-0000-4300-000003000000}" name="c"/>
  </tableColumns>
  <tableStyleInfo name="TableStyleMedium26" showFirstColumn="0" showLastColumn="1" showRowStripes="1" showColumnStripes="1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Medium27" displayName="Medium27" ref="V58:X63" totalsRowCount="1">
  <tableColumns count="3">
    <tableColumn id="1" xr3:uid="{00000000-0010-0000-4400-000001000000}" name="a"/>
    <tableColumn id="2" xr3:uid="{00000000-0010-0000-4400-000002000000}" name="b"/>
    <tableColumn id="3" xr3:uid="{00000000-0010-0000-4400-000003000000}" name="c"/>
  </tableColumns>
  <tableStyleInfo name="TableStyleMedium27" showFirstColumn="1" showLastColumn="1" showRowStripes="0" showColumnStripes="1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Medium28" displayName="Medium28" ref="B66:D71" totalsRowCount="1">
  <tableColumns count="3">
    <tableColumn id="1" xr3:uid="{00000000-0010-0000-4500-000001000000}" name="a"/>
    <tableColumn id="2" xr3:uid="{00000000-0010-0000-4500-000002000000}" name="b"/>
    <tableColumn id="3" xr3:uid="{00000000-0010-0000-4500-000003000000}" name="c"/>
  </tableColumns>
  <tableStyleInfo name="TableStyleMedium28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Dark1" displayName="Dark1" ref="F66:H71" totalsRowCount="1">
  <tableColumns count="3">
    <tableColumn id="1" xr3:uid="{00000000-0010-0000-4600-000001000000}" name="a"/>
    <tableColumn id="2" xr3:uid="{00000000-0010-0000-4600-000002000000}" name="b"/>
    <tableColumn id="3" xr3:uid="{00000000-0010-0000-4600-000003000000}" name="c"/>
  </tableColumns>
  <tableStyleInfo name="TableStyleDark1" showFirstColumn="1" showLastColumn="0" showRowStripes="1" showColumnStripes="1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Dark2" displayName="Dark2" ref="J66:L71" totalsRowCount="1">
  <tableColumns count="3">
    <tableColumn id="1" xr3:uid="{00000000-0010-0000-4700-000001000000}" name="a"/>
    <tableColumn id="2" xr3:uid="{00000000-0010-0000-4700-000002000000}" name="b"/>
    <tableColumn id="3" xr3:uid="{00000000-0010-0000-4700-000003000000}" name="c"/>
  </tableColumns>
  <tableStyleInfo name="TableStyleDark2" showFirstColumn="0" showLastColumn="1" showRowStripes="0" showColumnStripes="1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Dark3" displayName="Dark3" ref="N66:P71" totalsRowCount="1">
  <tableColumns count="3">
    <tableColumn id="1" xr3:uid="{00000000-0010-0000-4800-000001000000}" name="a"/>
    <tableColumn id="2" xr3:uid="{00000000-0010-0000-4800-000002000000}" name="b"/>
    <tableColumn id="3" xr3:uid="{00000000-0010-0000-4800-000003000000}" name="c"/>
  </tableColumns>
  <tableStyleInfo name="TableStyleDark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Dark4" displayName="Dark4" ref="R66:T71" totalsRowCount="1">
  <tableColumns count="3">
    <tableColumn id="1" xr3:uid="{00000000-0010-0000-4900-000001000000}" name="a"/>
    <tableColumn id="2" xr3:uid="{00000000-0010-0000-4900-000002000000}" name="b"/>
    <tableColumn id="3" xr3:uid="{00000000-0010-0000-4900-000003000000}" name="c"/>
  </tableColumns>
  <tableStyleInfo name="TableStyleDark4" showFirstColumn="0" showLastColumn="0" showRowStripes="1" showColumnStripes="1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Dark5" displayName="Dark5" ref="V66:X71" totalsRowCount="1">
  <tableColumns count="3">
    <tableColumn id="1" xr3:uid="{00000000-0010-0000-4A00-000001000000}" name="a"/>
    <tableColumn id="2" xr3:uid="{00000000-0010-0000-4A00-000002000000}" name="b"/>
    <tableColumn id="3" xr3:uid="{00000000-0010-0000-4A00-000003000000}" name="c"/>
  </tableColumns>
  <tableStyleInfo name="TableStyleDark5" showFirstColumn="1" showLastColumn="0" showRowStripes="0" showColumnStripes="1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Dark6" displayName="Dark6" ref="B74:D79" totalsRowCount="1">
  <tableColumns count="3">
    <tableColumn id="1" xr3:uid="{00000000-0010-0000-4B00-000001000000}" name="a"/>
    <tableColumn id="2" xr3:uid="{00000000-0010-0000-4B00-000002000000}" name="b"/>
    <tableColumn id="3" xr3:uid="{00000000-0010-0000-4B00-000003000000}" name="c"/>
  </tableColumns>
  <tableStyleInfo name="TableStyleDark6" showFirstColumn="0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Dark7" displayName="Dark7" ref="F74:H79" totalsRowCount="1">
  <tableColumns count="3">
    <tableColumn id="1" xr3:uid="{00000000-0010-0000-4C00-000001000000}" name="a"/>
    <tableColumn id="2" xr3:uid="{00000000-0010-0000-4C00-000002000000}" name="b"/>
    <tableColumn id="3" xr3:uid="{00000000-0010-0000-4C00-000003000000}" name="c"/>
  </tableColumns>
  <tableStyleInfo name="TableStyleDark7" showFirstColumn="1" showLastColumn="1" showRowStripes="1" showColumnStripes="1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Dark8" displayName="Dark8" ref="J74:L79" totalsRowCount="1">
  <tableColumns count="3">
    <tableColumn id="1" xr3:uid="{00000000-0010-0000-4D00-000001000000}" name="a"/>
    <tableColumn id="2" xr3:uid="{00000000-0010-0000-4D00-000002000000}" name="b"/>
    <tableColumn id="3" xr3:uid="{00000000-0010-0000-4D00-000003000000}" name="c"/>
  </tableColumns>
  <tableStyleInfo name="TableStyleDark8" showFirstColumn="0" showLastColumn="0" showRowStripes="0" showColumnStripes="1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Dark9" displayName="Dark9" ref="N74:P79" totalsRowCount="1">
  <tableColumns count="3">
    <tableColumn id="1" xr3:uid="{00000000-0010-0000-4E00-000001000000}" name="a"/>
    <tableColumn id="2" xr3:uid="{00000000-0010-0000-4E00-000002000000}" name="b"/>
    <tableColumn id="3" xr3:uid="{00000000-0010-0000-4E00-000003000000}" name="c"/>
  </tableColumns>
  <tableStyleInfo name="TableStyleDark9" showFirstColumn="1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Dark10" displayName="Dark10" ref="R74:T79" totalsRowCount="1">
  <tableColumns count="3">
    <tableColumn id="1" xr3:uid="{00000000-0010-0000-4F00-000001000000}" name="a"/>
    <tableColumn id="2" xr3:uid="{00000000-0010-0000-4F00-000002000000}" name="b"/>
    <tableColumn id="3" xr3:uid="{00000000-0010-0000-4F00-000003000000}" name="c"/>
  </tableColumns>
  <tableStyleInfo name="TableStyleDark10" showFirstColumn="0" showLastColumn="1" showRowStripes="1" showColumnStripes="1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Dark11" displayName="Dark11" ref="V74:X79" totalsRowCount="1">
  <tableColumns count="3">
    <tableColumn id="1" xr3:uid="{00000000-0010-0000-5000-000001000000}" name="a"/>
    <tableColumn id="2" xr3:uid="{00000000-0010-0000-5000-000002000000}" name="b"/>
    <tableColumn id="3" xr3:uid="{00000000-0010-0000-5000-000003000000}" name="c"/>
  </tableColumns>
  <tableStyleInfo name="TableStyleDark11" showFirstColumn="1" showLa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4.xml"/><Relationship Id="rId18" Type="http://schemas.openxmlformats.org/officeDocument/2006/relationships/table" Target="../tables/table39.xml"/><Relationship Id="rId26" Type="http://schemas.openxmlformats.org/officeDocument/2006/relationships/table" Target="../tables/table47.xml"/><Relationship Id="rId39" Type="http://schemas.openxmlformats.org/officeDocument/2006/relationships/table" Target="../tables/table60.xml"/><Relationship Id="rId21" Type="http://schemas.openxmlformats.org/officeDocument/2006/relationships/table" Target="../tables/table42.xml"/><Relationship Id="rId34" Type="http://schemas.openxmlformats.org/officeDocument/2006/relationships/table" Target="../tables/table55.xml"/><Relationship Id="rId42" Type="http://schemas.openxmlformats.org/officeDocument/2006/relationships/table" Target="../tables/table63.xml"/><Relationship Id="rId47" Type="http://schemas.openxmlformats.org/officeDocument/2006/relationships/table" Target="../tables/table68.xml"/><Relationship Id="rId50" Type="http://schemas.openxmlformats.org/officeDocument/2006/relationships/table" Target="../tables/table71.xml"/><Relationship Id="rId55" Type="http://schemas.openxmlformats.org/officeDocument/2006/relationships/table" Target="../tables/table76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6" Type="http://schemas.openxmlformats.org/officeDocument/2006/relationships/table" Target="../tables/table37.xml"/><Relationship Id="rId29" Type="http://schemas.openxmlformats.org/officeDocument/2006/relationships/table" Target="../tables/table50.xml"/><Relationship Id="rId11" Type="http://schemas.openxmlformats.org/officeDocument/2006/relationships/table" Target="../tables/table32.xml"/><Relationship Id="rId24" Type="http://schemas.openxmlformats.org/officeDocument/2006/relationships/table" Target="../tables/table45.xml"/><Relationship Id="rId32" Type="http://schemas.openxmlformats.org/officeDocument/2006/relationships/table" Target="../tables/table53.xml"/><Relationship Id="rId37" Type="http://schemas.openxmlformats.org/officeDocument/2006/relationships/table" Target="../tables/table58.xml"/><Relationship Id="rId40" Type="http://schemas.openxmlformats.org/officeDocument/2006/relationships/table" Target="../tables/table61.xml"/><Relationship Id="rId45" Type="http://schemas.openxmlformats.org/officeDocument/2006/relationships/table" Target="../tables/table66.xml"/><Relationship Id="rId53" Type="http://schemas.openxmlformats.org/officeDocument/2006/relationships/table" Target="../tables/table74.xml"/><Relationship Id="rId58" Type="http://schemas.openxmlformats.org/officeDocument/2006/relationships/table" Target="../tables/table79.xml"/><Relationship Id="rId5" Type="http://schemas.openxmlformats.org/officeDocument/2006/relationships/table" Target="../tables/table26.xml"/><Relationship Id="rId19" Type="http://schemas.openxmlformats.org/officeDocument/2006/relationships/table" Target="../tables/table40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Relationship Id="rId22" Type="http://schemas.openxmlformats.org/officeDocument/2006/relationships/table" Target="../tables/table43.xml"/><Relationship Id="rId27" Type="http://schemas.openxmlformats.org/officeDocument/2006/relationships/table" Target="../tables/table48.xml"/><Relationship Id="rId30" Type="http://schemas.openxmlformats.org/officeDocument/2006/relationships/table" Target="../tables/table51.xml"/><Relationship Id="rId35" Type="http://schemas.openxmlformats.org/officeDocument/2006/relationships/table" Target="../tables/table56.xml"/><Relationship Id="rId43" Type="http://schemas.openxmlformats.org/officeDocument/2006/relationships/table" Target="../tables/table64.xml"/><Relationship Id="rId48" Type="http://schemas.openxmlformats.org/officeDocument/2006/relationships/table" Target="../tables/table69.xml"/><Relationship Id="rId56" Type="http://schemas.openxmlformats.org/officeDocument/2006/relationships/table" Target="../tables/table77.xml"/><Relationship Id="rId8" Type="http://schemas.openxmlformats.org/officeDocument/2006/relationships/table" Target="../tables/table29.xml"/><Relationship Id="rId51" Type="http://schemas.openxmlformats.org/officeDocument/2006/relationships/table" Target="../tables/table72.xml"/><Relationship Id="rId3" Type="http://schemas.openxmlformats.org/officeDocument/2006/relationships/table" Target="../tables/table24.xml"/><Relationship Id="rId12" Type="http://schemas.openxmlformats.org/officeDocument/2006/relationships/table" Target="../tables/table33.xml"/><Relationship Id="rId17" Type="http://schemas.openxmlformats.org/officeDocument/2006/relationships/table" Target="../tables/table38.xml"/><Relationship Id="rId25" Type="http://schemas.openxmlformats.org/officeDocument/2006/relationships/table" Target="../tables/table46.xml"/><Relationship Id="rId33" Type="http://schemas.openxmlformats.org/officeDocument/2006/relationships/table" Target="../tables/table54.xml"/><Relationship Id="rId38" Type="http://schemas.openxmlformats.org/officeDocument/2006/relationships/table" Target="../tables/table59.xml"/><Relationship Id="rId46" Type="http://schemas.openxmlformats.org/officeDocument/2006/relationships/table" Target="../tables/table67.xml"/><Relationship Id="rId59" Type="http://schemas.openxmlformats.org/officeDocument/2006/relationships/table" Target="../tables/table80.xml"/><Relationship Id="rId20" Type="http://schemas.openxmlformats.org/officeDocument/2006/relationships/table" Target="../tables/table41.xml"/><Relationship Id="rId41" Type="http://schemas.openxmlformats.org/officeDocument/2006/relationships/table" Target="../tables/table62.xml"/><Relationship Id="rId54" Type="http://schemas.openxmlformats.org/officeDocument/2006/relationships/table" Target="../tables/table75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15" Type="http://schemas.openxmlformats.org/officeDocument/2006/relationships/table" Target="../tables/table36.xml"/><Relationship Id="rId23" Type="http://schemas.openxmlformats.org/officeDocument/2006/relationships/table" Target="../tables/table44.xml"/><Relationship Id="rId28" Type="http://schemas.openxmlformats.org/officeDocument/2006/relationships/table" Target="../tables/table49.xml"/><Relationship Id="rId36" Type="http://schemas.openxmlformats.org/officeDocument/2006/relationships/table" Target="../tables/table57.xml"/><Relationship Id="rId49" Type="http://schemas.openxmlformats.org/officeDocument/2006/relationships/table" Target="../tables/table70.xml"/><Relationship Id="rId57" Type="http://schemas.openxmlformats.org/officeDocument/2006/relationships/table" Target="../tables/table78.xml"/><Relationship Id="rId10" Type="http://schemas.openxmlformats.org/officeDocument/2006/relationships/table" Target="../tables/table31.xml"/><Relationship Id="rId31" Type="http://schemas.openxmlformats.org/officeDocument/2006/relationships/table" Target="../tables/table52.xml"/><Relationship Id="rId44" Type="http://schemas.openxmlformats.org/officeDocument/2006/relationships/table" Target="../tables/table65.xml"/><Relationship Id="rId52" Type="http://schemas.openxmlformats.org/officeDocument/2006/relationships/table" Target="../tables/table73.xml"/><Relationship Id="rId60" Type="http://schemas.openxmlformats.org/officeDocument/2006/relationships/table" Target="../tables/table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3"/>
  <sheetViews>
    <sheetView tabSelected="1" workbookViewId="0"/>
  </sheetViews>
  <sheetFormatPr defaultRowHeight="15" x14ac:dyDescent="0.25"/>
  <sheetData>
    <row r="2" spans="2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  <row r="3" spans="2:17" x14ac:dyDescent="0.25">
      <c r="B3">
        <v>10.5</v>
      </c>
      <c r="C3">
        <v>11.5</v>
      </c>
      <c r="D3">
        <v>12.5</v>
      </c>
      <c r="E3">
        <v>13.5</v>
      </c>
      <c r="F3">
        <v>14.5</v>
      </c>
      <c r="G3">
        <v>15.5</v>
      </c>
      <c r="H3">
        <v>16.5</v>
      </c>
      <c r="K3">
        <v>10.5</v>
      </c>
      <c r="L3">
        <v>11.5</v>
      </c>
      <c r="M3">
        <v>12.5</v>
      </c>
      <c r="N3">
        <v>13.5</v>
      </c>
      <c r="O3">
        <v>14.5</v>
      </c>
      <c r="P3">
        <v>15.5</v>
      </c>
      <c r="Q3">
        <v>16.5</v>
      </c>
    </row>
    <row r="4" spans="2:17" x14ac:dyDescent="0.25">
      <c r="B4">
        <v>20.5</v>
      </c>
      <c r="C4">
        <v>21.5</v>
      </c>
      <c r="D4">
        <v>22.5</v>
      </c>
      <c r="E4">
        <v>23.5</v>
      </c>
      <c r="F4">
        <v>24.5</v>
      </c>
      <c r="G4">
        <v>25.5</v>
      </c>
      <c r="H4">
        <v>26.5</v>
      </c>
      <c r="K4">
        <v>20.5</v>
      </c>
      <c r="L4">
        <v>21.5</v>
      </c>
      <c r="M4">
        <v>22.5</v>
      </c>
      <c r="N4">
        <v>23.5</v>
      </c>
      <c r="O4">
        <v>24.5</v>
      </c>
      <c r="P4">
        <v>25.5</v>
      </c>
      <c r="Q4">
        <v>26.5</v>
      </c>
    </row>
    <row r="5" spans="2:17" x14ac:dyDescent="0.25">
      <c r="B5">
        <v>30.5</v>
      </c>
      <c r="C5">
        <v>31.5</v>
      </c>
      <c r="E5">
        <v>33.5</v>
      </c>
      <c r="F5">
        <v>34.5</v>
      </c>
      <c r="G5">
        <v>35.5</v>
      </c>
      <c r="H5">
        <v>36.5</v>
      </c>
      <c r="K5">
        <v>30.5</v>
      </c>
      <c r="L5">
        <v>31.5</v>
      </c>
      <c r="M5">
        <v>32.5</v>
      </c>
      <c r="N5">
        <v>33.5</v>
      </c>
      <c r="O5">
        <v>34.5</v>
      </c>
      <c r="P5">
        <v>35.5</v>
      </c>
      <c r="Q5">
        <v>36.5</v>
      </c>
    </row>
    <row r="6" spans="2:17" x14ac:dyDescent="0.25">
      <c r="B6">
        <v>40.5</v>
      </c>
      <c r="C6">
        <v>41.5</v>
      </c>
      <c r="D6">
        <v>42.5</v>
      </c>
      <c r="F6">
        <v>44.5</v>
      </c>
      <c r="G6">
        <v>45.5</v>
      </c>
      <c r="H6">
        <v>46.5</v>
      </c>
      <c r="K6">
        <v>40.5</v>
      </c>
      <c r="L6">
        <v>41.5</v>
      </c>
      <c r="M6">
        <v>42.5</v>
      </c>
      <c r="N6">
        <v>43.5</v>
      </c>
      <c r="O6">
        <v>44.5</v>
      </c>
      <c r="P6">
        <v>45.5</v>
      </c>
      <c r="Q6">
        <v>46.5</v>
      </c>
    </row>
    <row r="7" spans="2:17" x14ac:dyDescent="0.25">
      <c r="B7">
        <v>50.5</v>
      </c>
      <c r="C7">
        <v>51.5</v>
      </c>
      <c r="D7">
        <v>52.5</v>
      </c>
      <c r="E7">
        <v>53.5</v>
      </c>
      <c r="F7">
        <v>54.5</v>
      </c>
      <c r="G7">
        <v>55.5</v>
      </c>
      <c r="H7">
        <v>56.5</v>
      </c>
      <c r="K7">
        <v>50.5</v>
      </c>
      <c r="L7">
        <v>51.5</v>
      </c>
      <c r="M7">
        <v>52.5</v>
      </c>
      <c r="N7">
        <v>53.5</v>
      </c>
      <c r="O7">
        <v>54.5</v>
      </c>
      <c r="P7">
        <v>55.5</v>
      </c>
      <c r="Q7">
        <v>56.5</v>
      </c>
    </row>
    <row r="8" spans="2:17" x14ac:dyDescent="0.25">
      <c r="B8">
        <v>60.5</v>
      </c>
      <c r="C8">
        <v>61.5</v>
      </c>
      <c r="D8">
        <v>62.5</v>
      </c>
      <c r="E8">
        <v>63.5</v>
      </c>
      <c r="F8">
        <v>64.5</v>
      </c>
      <c r="G8">
        <v>65.5</v>
      </c>
      <c r="H8">
        <v>66.5</v>
      </c>
      <c r="K8">
        <v>60.5</v>
      </c>
      <c r="L8">
        <v>61.5</v>
      </c>
      <c r="M8">
        <v>62.5</v>
      </c>
      <c r="N8">
        <v>63.5</v>
      </c>
      <c r="O8">
        <v>64.5</v>
      </c>
      <c r="P8">
        <v>65.5</v>
      </c>
      <c r="Q8">
        <v>66.5</v>
      </c>
    </row>
    <row r="9" spans="2:17" x14ac:dyDescent="0.25">
      <c r="B9">
        <v>70.5</v>
      </c>
      <c r="C9">
        <v>71.5</v>
      </c>
      <c r="D9">
        <v>72.5</v>
      </c>
      <c r="E9">
        <v>73.5</v>
      </c>
      <c r="F9">
        <v>74.5</v>
      </c>
      <c r="G9">
        <v>75.5</v>
      </c>
      <c r="H9">
        <v>76.5</v>
      </c>
      <c r="K9">
        <v>70.5</v>
      </c>
      <c r="L9">
        <v>71.5</v>
      </c>
      <c r="M9">
        <v>72.5</v>
      </c>
      <c r="N9">
        <v>73.5</v>
      </c>
      <c r="O9">
        <v>74.5</v>
      </c>
      <c r="P9">
        <v>75.5</v>
      </c>
      <c r="Q9">
        <v>76.5</v>
      </c>
    </row>
    <row r="10" spans="2:17" x14ac:dyDescent="0.25">
      <c r="B10" t="s">
        <v>14</v>
      </c>
      <c r="C10">
        <f>SUBTOTAL(109,AllOn[AllOn2])</f>
        <v>290.5</v>
      </c>
      <c r="D10">
        <f>SUBTOTAL(109,AllOn[AllOn3])</f>
        <v>265</v>
      </c>
      <c r="E10">
        <f>SUBTOTAL(109,AllOn[AllOn4])</f>
        <v>261</v>
      </c>
      <c r="F10">
        <f>SUBTOTAL(109,AllOn[AllOn5])</f>
        <v>311.5</v>
      </c>
      <c r="G10">
        <f>SUBTOTAL(109,AllOn[AllOn6])</f>
        <v>318.5</v>
      </c>
      <c r="H10">
        <f>SUBTOTAL(109,AllOn[AllOn7])</f>
        <v>325.5</v>
      </c>
      <c r="K10">
        <v>80.5</v>
      </c>
      <c r="L10">
        <v>81.5</v>
      </c>
      <c r="M10">
        <v>82.5</v>
      </c>
      <c r="N10">
        <v>83.5</v>
      </c>
      <c r="O10">
        <v>84.5</v>
      </c>
      <c r="P10">
        <v>85.5</v>
      </c>
      <c r="Q10">
        <v>86.5</v>
      </c>
    </row>
    <row r="11" spans="2:17" x14ac:dyDescent="0.25">
      <c r="K11">
        <v>90.5</v>
      </c>
      <c r="L11">
        <v>91.5</v>
      </c>
      <c r="M11">
        <v>92.5</v>
      </c>
      <c r="N11">
        <v>93.5</v>
      </c>
      <c r="O11">
        <v>94.5</v>
      </c>
      <c r="P11">
        <v>95.5</v>
      </c>
      <c r="Q11">
        <v>96.5</v>
      </c>
    </row>
    <row r="12" spans="2:17" x14ac:dyDescent="0.25">
      <c r="K12">
        <v>100.5</v>
      </c>
      <c r="L12">
        <v>101.5</v>
      </c>
      <c r="M12">
        <v>102.5</v>
      </c>
      <c r="N12">
        <v>103.5</v>
      </c>
      <c r="O12">
        <v>104.5</v>
      </c>
      <c r="P12">
        <v>105.5</v>
      </c>
      <c r="Q12">
        <v>106.5</v>
      </c>
    </row>
    <row r="13" spans="2:17" x14ac:dyDescent="0.25">
      <c r="B13" t="s">
        <v>15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</row>
    <row r="14" spans="2:17" x14ac:dyDescent="0.25">
      <c r="B14">
        <v>10.5</v>
      </c>
      <c r="C14">
        <v>11.5</v>
      </c>
      <c r="D14">
        <v>12.5</v>
      </c>
      <c r="E14">
        <v>13.5</v>
      </c>
      <c r="F14">
        <v>14.5</v>
      </c>
      <c r="G14">
        <v>15.5</v>
      </c>
      <c r="H14">
        <v>16.5</v>
      </c>
    </row>
    <row r="15" spans="2:17" x14ac:dyDescent="0.25">
      <c r="B15">
        <v>20.5</v>
      </c>
      <c r="C15">
        <v>21.5</v>
      </c>
      <c r="D15">
        <v>22.5</v>
      </c>
      <c r="E15">
        <v>23.5</v>
      </c>
      <c r="F15">
        <v>24.5</v>
      </c>
      <c r="G15">
        <v>25.5</v>
      </c>
      <c r="H15">
        <v>26.5</v>
      </c>
      <c r="K15" t="s">
        <v>22</v>
      </c>
      <c r="L15" t="s">
        <v>23</v>
      </c>
      <c r="M15" t="s">
        <v>24</v>
      </c>
      <c r="N15" t="s">
        <v>25</v>
      </c>
    </row>
    <row r="16" spans="2:17" x14ac:dyDescent="0.25">
      <c r="B16">
        <v>30.5</v>
      </c>
      <c r="C16">
        <v>31.5</v>
      </c>
      <c r="D16">
        <v>32.5</v>
      </c>
      <c r="E16">
        <v>33.5</v>
      </c>
      <c r="F16">
        <v>34.5</v>
      </c>
      <c r="G16">
        <v>35.5</v>
      </c>
      <c r="H16">
        <v>36.5</v>
      </c>
      <c r="K16">
        <v>10.5</v>
      </c>
      <c r="L16">
        <v>11.5</v>
      </c>
      <c r="M16">
        <v>12.5</v>
      </c>
      <c r="N16">
        <v>13.5</v>
      </c>
    </row>
    <row r="17" spans="2:16" x14ac:dyDescent="0.25">
      <c r="B17">
        <v>40.5</v>
      </c>
      <c r="C17">
        <v>41.5</v>
      </c>
      <c r="D17">
        <v>42.5</v>
      </c>
      <c r="E17">
        <v>43.5</v>
      </c>
      <c r="F17">
        <v>44.5</v>
      </c>
      <c r="G17">
        <v>45.5</v>
      </c>
      <c r="H17">
        <v>46.5</v>
      </c>
      <c r="K17">
        <v>20.5</v>
      </c>
      <c r="L17">
        <v>21.5</v>
      </c>
      <c r="M17">
        <v>22.5</v>
      </c>
      <c r="N17">
        <v>23.5</v>
      </c>
    </row>
    <row r="18" spans="2:16" x14ac:dyDescent="0.25">
      <c r="B18">
        <v>50.5</v>
      </c>
      <c r="C18">
        <v>51.5</v>
      </c>
      <c r="D18">
        <v>52.5</v>
      </c>
      <c r="E18">
        <v>53.5</v>
      </c>
      <c r="F18">
        <v>54.5</v>
      </c>
      <c r="G18">
        <v>55.5</v>
      </c>
      <c r="H18">
        <v>56.5</v>
      </c>
      <c r="K18">
        <v>30.5</v>
      </c>
      <c r="L18">
        <v>31.5</v>
      </c>
      <c r="M18">
        <v>32.5</v>
      </c>
      <c r="N18">
        <v>33.5</v>
      </c>
    </row>
    <row r="19" spans="2:16" x14ac:dyDescent="0.25">
      <c r="K19" t="s">
        <v>14</v>
      </c>
      <c r="L19">
        <f>SUBTOTAL(109,LastOnly[LastOnly2])</f>
        <v>64.5</v>
      </c>
      <c r="M19">
        <f>SUBTOTAL(109,LastOnly[LastOnly3])</f>
        <v>67.5</v>
      </c>
      <c r="N19">
        <f>SUBTOTAL(109,LastOnly[LastOnly4])</f>
        <v>70.5</v>
      </c>
    </row>
    <row r="21" spans="2:16" x14ac:dyDescent="0.25">
      <c r="B21">
        <v>10.5</v>
      </c>
      <c r="C21">
        <v>11.5</v>
      </c>
      <c r="D21">
        <v>12.5</v>
      </c>
      <c r="E21">
        <v>13.5</v>
      </c>
    </row>
    <row r="22" spans="2:16" x14ac:dyDescent="0.25">
      <c r="B22">
        <v>20.5</v>
      </c>
      <c r="C22">
        <v>21.5</v>
      </c>
      <c r="D22">
        <v>22.5</v>
      </c>
      <c r="E22">
        <v>23.5</v>
      </c>
    </row>
    <row r="23" spans="2:16" x14ac:dyDescent="0.25">
      <c r="B23">
        <v>30.5</v>
      </c>
      <c r="C23">
        <v>31.5</v>
      </c>
      <c r="D23">
        <v>32.5</v>
      </c>
      <c r="E23">
        <v>33.5</v>
      </c>
      <c r="K23">
        <v>10.5</v>
      </c>
      <c r="L23">
        <v>11.5</v>
      </c>
      <c r="M23">
        <v>12.5</v>
      </c>
    </row>
    <row r="24" spans="2:16" x14ac:dyDescent="0.25">
      <c r="B24">
        <v>40.5</v>
      </c>
      <c r="C24">
        <v>41.5</v>
      </c>
      <c r="D24">
        <v>42.5</v>
      </c>
      <c r="E24">
        <v>43.5</v>
      </c>
      <c r="K24">
        <v>20.5</v>
      </c>
      <c r="L24">
        <v>21.5</v>
      </c>
      <c r="M24">
        <v>22.5</v>
      </c>
    </row>
    <row r="25" spans="2:16" x14ac:dyDescent="0.25">
      <c r="K25">
        <v>30.5</v>
      </c>
      <c r="L25">
        <v>31.5</v>
      </c>
      <c r="M25">
        <v>32.5</v>
      </c>
    </row>
    <row r="26" spans="2:16" x14ac:dyDescent="0.25">
      <c r="K26" t="s">
        <v>14</v>
      </c>
      <c r="L26">
        <f>SUBTOTAL(109,TotalsOnly[TotalsOnly2])</f>
        <v>64.5</v>
      </c>
      <c r="M26">
        <f>SUBTOTAL(109,TotalsOnly[TotalsOnly3])</f>
        <v>67.5</v>
      </c>
    </row>
    <row r="27" spans="2:16" x14ac:dyDescent="0.25">
      <c r="B27" t="s">
        <v>26</v>
      </c>
    </row>
    <row r="28" spans="2:16" x14ac:dyDescent="0.25">
      <c r="B28">
        <v>10.5</v>
      </c>
    </row>
    <row r="29" spans="2:16" x14ac:dyDescent="0.25">
      <c r="B29">
        <v>20.5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32</v>
      </c>
    </row>
    <row r="30" spans="2:16" x14ac:dyDescent="0.25">
      <c r="B30">
        <v>30.5</v>
      </c>
      <c r="K30">
        <v>10.5</v>
      </c>
      <c r="L30">
        <v>11.5</v>
      </c>
      <c r="M30">
        <v>12.5</v>
      </c>
      <c r="N30">
        <v>13.5</v>
      </c>
      <c r="O30">
        <v>14.5</v>
      </c>
      <c r="P30">
        <v>15.5</v>
      </c>
    </row>
    <row r="31" spans="2:16" x14ac:dyDescent="0.25">
      <c r="B31" t="s">
        <v>14</v>
      </c>
      <c r="K31">
        <v>20.5</v>
      </c>
      <c r="L31">
        <v>21.5</v>
      </c>
      <c r="M31">
        <v>22.5</v>
      </c>
      <c r="N31">
        <v>23.5</v>
      </c>
      <c r="O31">
        <v>24.5</v>
      </c>
      <c r="P31">
        <v>25.5</v>
      </c>
    </row>
    <row r="32" spans="2:16" x14ac:dyDescent="0.25">
      <c r="K32">
        <v>30.5</v>
      </c>
      <c r="L32">
        <v>31.5</v>
      </c>
      <c r="M32">
        <v>32.5</v>
      </c>
      <c r="N32">
        <v>33.5</v>
      </c>
      <c r="O32">
        <v>34.5</v>
      </c>
      <c r="P32">
        <v>35.5</v>
      </c>
    </row>
    <row r="33" spans="11:16" x14ac:dyDescent="0.25">
      <c r="K33" t="s">
        <v>14</v>
      </c>
      <c r="L33">
        <f>SUBTOTAL(109,ColumnsOnly[ColumnsOnly2])</f>
        <v>64.5</v>
      </c>
      <c r="M33">
        <f>SUBTOTAL(109,ColumnsOnly[ColumnsOnly3])</f>
        <v>67.5</v>
      </c>
      <c r="N33">
        <f>SUBTOTAL(109,ColumnsOnly[ColumnsOnly4])</f>
        <v>70.5</v>
      </c>
      <c r="O33">
        <f>SUBTOTAL(109,ColumnsOnly[ColumnsOnly5])</f>
        <v>73.5</v>
      </c>
      <c r="P33">
        <f>SUBTOTAL(109,ColumnsOnly[ColumnsOnly6])</f>
        <v>76.5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24"/>
  <sheetViews>
    <sheetView workbookViewId="0"/>
  </sheetViews>
  <sheetFormatPr defaultRowHeight="15" x14ac:dyDescent="0.25"/>
  <sheetData>
    <row r="2" spans="2:15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</row>
    <row r="10" spans="2:15" x14ac:dyDescent="0.25">
      <c r="I10" t="s">
        <v>33</v>
      </c>
      <c r="J10" t="s">
        <v>34</v>
      </c>
      <c r="K10" t="s">
        <v>35</v>
      </c>
      <c r="L10" t="s">
        <v>36</v>
      </c>
    </row>
    <row r="12" spans="2:15" x14ac:dyDescent="0.25">
      <c r="B12" t="s">
        <v>33</v>
      </c>
      <c r="C12" t="s">
        <v>34</v>
      </c>
      <c r="D12" t="s">
        <v>35</v>
      </c>
      <c r="E12" t="s">
        <v>36</v>
      </c>
      <c r="F12" t="s">
        <v>37</v>
      </c>
    </row>
    <row r="19" spans="2:14" x14ac:dyDescent="0.25">
      <c r="B19" t="s">
        <v>33</v>
      </c>
      <c r="C19" t="s">
        <v>34</v>
      </c>
      <c r="D19" t="s">
        <v>35</v>
      </c>
      <c r="E19" t="s">
        <v>36</v>
      </c>
      <c r="F19" t="s">
        <v>37</v>
      </c>
    </row>
    <row r="20" spans="2:14" x14ac:dyDescent="0.25">
      <c r="I20" t="s">
        <v>33</v>
      </c>
      <c r="J20" s="16" t="s">
        <v>34</v>
      </c>
      <c r="K20" t="s">
        <v>35</v>
      </c>
      <c r="L20" t="s">
        <v>36</v>
      </c>
      <c r="M20" t="s">
        <v>37</v>
      </c>
      <c r="N20" t="s">
        <v>38</v>
      </c>
    </row>
    <row r="21" spans="2:14" x14ac:dyDescent="0.25">
      <c r="K21" s="17"/>
      <c r="L21" s="18"/>
    </row>
    <row r="22" spans="2:14" x14ac:dyDescent="0.25">
      <c r="M22" s="16"/>
    </row>
    <row r="24" spans="2:14" x14ac:dyDescent="0.25">
      <c r="M24" s="17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8"/>
  <sheetViews>
    <sheetView workbookViewId="0"/>
  </sheetViews>
  <sheetFormatPr defaultRowHeight="15" x14ac:dyDescent="0.25"/>
  <sheetData>
    <row r="2" spans="2:17" x14ac:dyDescent="0.25">
      <c r="B2" t="s">
        <v>40</v>
      </c>
      <c r="C2" s="1" t="s">
        <v>41</v>
      </c>
      <c r="D2" s="2" t="s">
        <v>42</v>
      </c>
      <c r="E2" s="3" t="s">
        <v>43</v>
      </c>
      <c r="F2" s="4" t="s">
        <v>44</v>
      </c>
      <c r="G2" s="5" t="s">
        <v>45</v>
      </c>
      <c r="H2" s="6" t="s">
        <v>46</v>
      </c>
      <c r="I2" s="7" t="s">
        <v>47</v>
      </c>
      <c r="J2" s="8" t="s">
        <v>48</v>
      </c>
      <c r="K2" s="9" t="s">
        <v>49</v>
      </c>
      <c r="L2" s="10" t="s">
        <v>50</v>
      </c>
      <c r="M2" s="11" t="s">
        <v>51</v>
      </c>
      <c r="N2" s="12" t="s">
        <v>52</v>
      </c>
      <c r="O2" s="13" t="s">
        <v>53</v>
      </c>
      <c r="P2" s="14" t="s">
        <v>54</v>
      </c>
      <c r="Q2" s="15" t="s">
        <v>55</v>
      </c>
    </row>
    <row r="3" spans="2:17" x14ac:dyDescent="0.25">
      <c r="B3">
        <v>10.5</v>
      </c>
      <c r="C3" s="1">
        <v>11.5</v>
      </c>
      <c r="D3" s="2">
        <v>12.5</v>
      </c>
      <c r="E3" s="3">
        <v>13.5</v>
      </c>
      <c r="F3" s="4">
        <v>14.5</v>
      </c>
      <c r="G3" s="5">
        <v>15.5</v>
      </c>
      <c r="H3" s="6">
        <v>16.5</v>
      </c>
      <c r="I3" s="7">
        <v>17.5</v>
      </c>
      <c r="J3" s="8">
        <v>18.5</v>
      </c>
      <c r="K3" s="9">
        <v>19.5</v>
      </c>
      <c r="L3" s="10">
        <v>20.5</v>
      </c>
      <c r="M3" s="11">
        <v>21.5</v>
      </c>
      <c r="N3" s="12">
        <v>22.5</v>
      </c>
      <c r="O3" s="13">
        <v>23.5</v>
      </c>
      <c r="P3" s="14">
        <v>24.5</v>
      </c>
      <c r="Q3" s="15">
        <v>25.5</v>
      </c>
    </row>
    <row r="4" spans="2:17" x14ac:dyDescent="0.25">
      <c r="B4">
        <v>20.5</v>
      </c>
      <c r="C4" s="1">
        <v>21.5</v>
      </c>
      <c r="D4" s="2">
        <v>22.5</v>
      </c>
      <c r="E4" s="3">
        <v>23.5</v>
      </c>
      <c r="F4" s="4">
        <v>24.5</v>
      </c>
      <c r="G4" s="5">
        <v>25.5</v>
      </c>
      <c r="H4" s="6">
        <v>26.5</v>
      </c>
      <c r="I4" s="7">
        <v>27.5</v>
      </c>
      <c r="J4" s="8">
        <v>28.5</v>
      </c>
      <c r="K4" s="9">
        <v>29.5</v>
      </c>
      <c r="L4" s="10">
        <v>30.5</v>
      </c>
      <c r="M4" s="11">
        <v>31.5</v>
      </c>
      <c r="N4" s="12">
        <v>32.5</v>
      </c>
      <c r="O4" s="13">
        <v>33.5</v>
      </c>
      <c r="P4" s="14">
        <v>34.5</v>
      </c>
      <c r="Q4" s="15">
        <v>35.5</v>
      </c>
    </row>
    <row r="5" spans="2:17" x14ac:dyDescent="0.25">
      <c r="B5">
        <v>30.5</v>
      </c>
      <c r="C5" s="1">
        <v>31.5</v>
      </c>
      <c r="D5" s="2">
        <v>32.5</v>
      </c>
      <c r="E5" s="3">
        <v>33.5</v>
      </c>
      <c r="F5" s="4">
        <v>34.5</v>
      </c>
      <c r="G5" s="5">
        <v>35.5</v>
      </c>
      <c r="H5" s="6">
        <v>36.5</v>
      </c>
      <c r="I5" s="7">
        <v>37.5</v>
      </c>
      <c r="J5" s="8">
        <v>38.5</v>
      </c>
      <c r="K5" s="9">
        <v>39.5</v>
      </c>
      <c r="L5" s="10">
        <v>40.5</v>
      </c>
      <c r="M5" s="11">
        <v>41.5</v>
      </c>
      <c r="N5" s="12">
        <v>42.5</v>
      </c>
      <c r="O5" s="13">
        <v>43.5</v>
      </c>
      <c r="P5" s="14">
        <v>44.5</v>
      </c>
      <c r="Q5" s="15">
        <v>45.5</v>
      </c>
    </row>
    <row r="6" spans="2:17" x14ac:dyDescent="0.25">
      <c r="B6">
        <v>40.5</v>
      </c>
      <c r="C6" s="1">
        <v>41.5</v>
      </c>
      <c r="D6" s="2">
        <v>42.5</v>
      </c>
      <c r="E6" s="3">
        <v>43.5</v>
      </c>
      <c r="F6" s="4">
        <v>44.5</v>
      </c>
      <c r="G6" s="5">
        <v>45.5</v>
      </c>
      <c r="H6" s="6">
        <v>46.5</v>
      </c>
      <c r="I6" s="7">
        <v>47.5</v>
      </c>
      <c r="J6" s="8">
        <v>48.5</v>
      </c>
      <c r="K6" s="9">
        <v>49.5</v>
      </c>
      <c r="L6" s="10">
        <v>50.5</v>
      </c>
      <c r="M6" s="11">
        <v>51.5</v>
      </c>
      <c r="N6" s="12">
        <v>52.5</v>
      </c>
      <c r="O6" s="13">
        <v>53.5</v>
      </c>
      <c r="P6" s="14">
        <v>54.5</v>
      </c>
      <c r="Q6" s="15">
        <v>55.5</v>
      </c>
    </row>
    <row r="7" spans="2:17" x14ac:dyDescent="0.25">
      <c r="B7" t="s">
        <v>14</v>
      </c>
      <c r="C7" s="1">
        <f>SUBTOTAL(109,Medium[Medium2])</f>
        <v>106</v>
      </c>
      <c r="D7" s="2">
        <f>SUBTOTAL(109,Medium[Medium3])</f>
        <v>110</v>
      </c>
      <c r="E7" s="3">
        <f>SUBTOTAL(109,Medium[Medium4])</f>
        <v>114</v>
      </c>
      <c r="F7" s="4">
        <f>SUBTOTAL(109,Medium[Medium5])</f>
        <v>118</v>
      </c>
      <c r="G7" s="5">
        <f>SUBTOTAL(109,Medium[Medium6])</f>
        <v>122</v>
      </c>
      <c r="H7" s="6">
        <f>SUBTOTAL(109,Medium[Medium7])</f>
        <v>126</v>
      </c>
      <c r="I7" s="7">
        <f>SUBTOTAL(109,Medium[Medium8])</f>
        <v>130</v>
      </c>
      <c r="J7" s="8">
        <f>SUBTOTAL(109,Medium[Medium9])</f>
        <v>134</v>
      </c>
      <c r="K7" s="9">
        <f>SUBTOTAL(109,Medium[Medium10])</f>
        <v>138</v>
      </c>
      <c r="L7" s="10">
        <f>SUBTOTAL(109,Medium[Medium11])</f>
        <v>142</v>
      </c>
      <c r="M7" s="11">
        <f>SUBTOTAL(109,Medium[Medium12])</f>
        <v>146</v>
      </c>
      <c r="N7" s="12">
        <f>SUBTOTAL(109,Medium[Medium13])</f>
        <v>150</v>
      </c>
      <c r="O7" s="13">
        <f>SUBTOTAL(109,Medium[Medium14])</f>
        <v>154</v>
      </c>
      <c r="P7" s="14">
        <f>SUBTOTAL(109,Medium[Medium15])</f>
        <v>158</v>
      </c>
      <c r="Q7" s="15">
        <f>SUBTOTAL(109,Medium[Medium16])</f>
        <v>162</v>
      </c>
    </row>
    <row r="10" spans="2:17" x14ac:dyDescent="0.25">
      <c r="B10" t="s">
        <v>56</v>
      </c>
      <c r="C10" s="1" t="s">
        <v>57</v>
      </c>
      <c r="D10" s="2" t="s">
        <v>58</v>
      </c>
      <c r="E10" s="3" t="s">
        <v>59</v>
      </c>
      <c r="F10" s="4" t="s">
        <v>60</v>
      </c>
      <c r="G10" s="5" t="s">
        <v>61</v>
      </c>
      <c r="H10" s="6" t="s">
        <v>62</v>
      </c>
      <c r="I10" s="7" t="s">
        <v>63</v>
      </c>
      <c r="J10" s="8" t="s">
        <v>64</v>
      </c>
      <c r="K10" s="9" t="s">
        <v>65</v>
      </c>
      <c r="L10" s="10" t="s">
        <v>66</v>
      </c>
      <c r="M10" s="11" t="s">
        <v>67</v>
      </c>
      <c r="N10" s="12" t="s">
        <v>68</v>
      </c>
      <c r="O10" s="13" t="s">
        <v>69</v>
      </c>
      <c r="P10" s="14" t="s">
        <v>70</v>
      </c>
      <c r="Q10" s="15" t="s">
        <v>71</v>
      </c>
    </row>
    <row r="11" spans="2:17" x14ac:dyDescent="0.25">
      <c r="B11">
        <v>10.5</v>
      </c>
      <c r="C11" s="1">
        <v>11.5</v>
      </c>
      <c r="D11" s="2">
        <v>12.5</v>
      </c>
      <c r="E11" s="3">
        <v>13.5</v>
      </c>
      <c r="F11" s="4">
        <v>14.5</v>
      </c>
      <c r="G11" s="5">
        <v>15.5</v>
      </c>
      <c r="H11" s="6">
        <v>16.5</v>
      </c>
      <c r="I11" s="7">
        <v>17.5</v>
      </c>
      <c r="J11" s="8">
        <v>18.5</v>
      </c>
      <c r="K11" s="9">
        <v>19.5</v>
      </c>
      <c r="L11" s="10">
        <v>20.5</v>
      </c>
      <c r="M11" s="11">
        <v>21.5</v>
      </c>
      <c r="N11" s="12">
        <v>22.5</v>
      </c>
      <c r="O11" s="13">
        <v>23.5</v>
      </c>
      <c r="P11" s="14">
        <v>24.5</v>
      </c>
      <c r="Q11" s="15">
        <v>25.5</v>
      </c>
    </row>
    <row r="12" spans="2:17" x14ac:dyDescent="0.25">
      <c r="B12">
        <v>20.5</v>
      </c>
      <c r="C12" s="1">
        <v>21.5</v>
      </c>
      <c r="D12" s="2">
        <v>22.5</v>
      </c>
      <c r="E12" s="3">
        <v>23.5</v>
      </c>
      <c r="F12" s="4">
        <v>24.5</v>
      </c>
      <c r="G12" s="5">
        <v>25.5</v>
      </c>
      <c r="H12" s="6">
        <v>26.5</v>
      </c>
      <c r="I12" s="7">
        <v>27.5</v>
      </c>
      <c r="J12" s="8">
        <v>28.5</v>
      </c>
      <c r="K12" s="9">
        <v>29.5</v>
      </c>
      <c r="L12" s="10">
        <v>30.5</v>
      </c>
      <c r="M12" s="11">
        <v>31.5</v>
      </c>
      <c r="N12" s="12">
        <v>32.5</v>
      </c>
      <c r="O12" s="13">
        <v>33.5</v>
      </c>
      <c r="P12" s="14">
        <v>34.5</v>
      </c>
      <c r="Q12" s="15">
        <v>35.5</v>
      </c>
    </row>
    <row r="13" spans="2:17" x14ac:dyDescent="0.25">
      <c r="B13">
        <v>30.5</v>
      </c>
      <c r="C13" s="1">
        <v>31.5</v>
      </c>
      <c r="D13" s="2">
        <v>32.5</v>
      </c>
      <c r="E13" s="3">
        <v>33.5</v>
      </c>
      <c r="F13" s="4">
        <v>34.5</v>
      </c>
      <c r="G13" s="5">
        <v>35.5</v>
      </c>
      <c r="H13" s="6">
        <v>36.5</v>
      </c>
      <c r="I13" s="7">
        <v>37.5</v>
      </c>
      <c r="J13" s="8">
        <v>38.5</v>
      </c>
      <c r="K13" s="9">
        <v>39.5</v>
      </c>
      <c r="L13" s="10">
        <v>40.5</v>
      </c>
      <c r="M13" s="11">
        <v>41.5</v>
      </c>
      <c r="N13" s="12">
        <v>42.5</v>
      </c>
      <c r="O13" s="13">
        <v>43.5</v>
      </c>
      <c r="P13" s="14">
        <v>44.5</v>
      </c>
      <c r="Q13" s="15">
        <v>45.5</v>
      </c>
    </row>
    <row r="14" spans="2:17" x14ac:dyDescent="0.25">
      <c r="B14">
        <v>40.5</v>
      </c>
      <c r="C14" s="1">
        <v>41.5</v>
      </c>
      <c r="D14" s="2">
        <v>42.5</v>
      </c>
      <c r="E14" s="3">
        <v>43.5</v>
      </c>
      <c r="F14" s="4">
        <v>44.5</v>
      </c>
      <c r="G14" s="5">
        <v>45.5</v>
      </c>
      <c r="H14" s="6">
        <v>46.5</v>
      </c>
      <c r="I14" s="7">
        <v>47.5</v>
      </c>
      <c r="J14" s="8">
        <v>48.5</v>
      </c>
      <c r="K14" s="9">
        <v>49.5</v>
      </c>
      <c r="L14" s="10">
        <v>50.5</v>
      </c>
      <c r="M14" s="11">
        <v>51.5</v>
      </c>
      <c r="N14" s="12">
        <v>52.5</v>
      </c>
      <c r="O14" s="13">
        <v>53.5</v>
      </c>
      <c r="P14" s="14">
        <v>54.5</v>
      </c>
      <c r="Q14" s="15">
        <v>55.5</v>
      </c>
    </row>
    <row r="15" spans="2:17" x14ac:dyDescent="0.25">
      <c r="B15" t="s">
        <v>14</v>
      </c>
      <c r="C15" s="1">
        <f>SUBTOTAL(109,Dark[Dark2])</f>
        <v>106</v>
      </c>
      <c r="D15" s="2">
        <f>SUBTOTAL(109,Dark[Dark3])</f>
        <v>110</v>
      </c>
      <c r="E15" s="3">
        <f>SUBTOTAL(109,Dark[Dark4])</f>
        <v>114</v>
      </c>
      <c r="F15" s="4">
        <f>SUBTOTAL(109,Dark[Dark5])</f>
        <v>118</v>
      </c>
      <c r="G15" s="5">
        <f>SUBTOTAL(109,Dark[Dark6])</f>
        <v>122</v>
      </c>
      <c r="H15" s="6">
        <f>SUBTOTAL(109,Dark[Dark7])</f>
        <v>126</v>
      </c>
      <c r="I15" s="7">
        <f>SUBTOTAL(109,Dark[Dark8])</f>
        <v>130</v>
      </c>
      <c r="J15" s="8">
        <f>SUBTOTAL(109,Dark[Dark9])</f>
        <v>134</v>
      </c>
      <c r="K15" s="9">
        <f>SUBTOTAL(109,Dark[Dark10])</f>
        <v>138</v>
      </c>
      <c r="L15" s="10">
        <f>SUBTOTAL(109,Dark[Dark11])</f>
        <v>142</v>
      </c>
      <c r="M15" s="11">
        <f>SUBTOTAL(109,Dark[Dark12])</f>
        <v>146</v>
      </c>
      <c r="N15" s="12">
        <f>SUBTOTAL(109,Dark[Dark13])</f>
        <v>150</v>
      </c>
      <c r="O15" s="13">
        <f>SUBTOTAL(109,Dark[Dark14])</f>
        <v>154</v>
      </c>
      <c r="P15" s="14">
        <f>SUBTOTAL(109,Dark[Dark15])</f>
        <v>158</v>
      </c>
      <c r="Q15" s="15">
        <f>SUBTOTAL(109,Dark[Dark16])</f>
        <v>162</v>
      </c>
    </row>
    <row r="18" spans="2:17" x14ac:dyDescent="0.25">
      <c r="B18" t="s">
        <v>72</v>
      </c>
      <c r="C18" s="1" t="s">
        <v>73</v>
      </c>
      <c r="D18" s="2" t="s">
        <v>74</v>
      </c>
      <c r="E18" s="3" t="s">
        <v>75</v>
      </c>
      <c r="F18" s="4" t="s">
        <v>76</v>
      </c>
      <c r="G18" s="5" t="s">
        <v>77</v>
      </c>
      <c r="H18" s="6" t="s">
        <v>78</v>
      </c>
      <c r="I18" s="7" t="s">
        <v>79</v>
      </c>
      <c r="J18" s="8" t="s">
        <v>80</v>
      </c>
      <c r="K18" s="9" t="s">
        <v>81</v>
      </c>
      <c r="L18" s="10" t="s">
        <v>82</v>
      </c>
      <c r="M18" s="11" t="s">
        <v>83</v>
      </c>
      <c r="N18" s="12" t="s">
        <v>84</v>
      </c>
      <c r="O18" s="13" t="s">
        <v>85</v>
      </c>
      <c r="P18" s="14" t="s">
        <v>86</v>
      </c>
      <c r="Q18" s="15" t="s">
        <v>87</v>
      </c>
    </row>
    <row r="19" spans="2:17" x14ac:dyDescent="0.25">
      <c r="B19">
        <v>10.5</v>
      </c>
      <c r="C19" s="1">
        <v>11.5</v>
      </c>
      <c r="D19" s="2">
        <v>12.5</v>
      </c>
      <c r="E19" s="3">
        <v>13.5</v>
      </c>
      <c r="F19" s="4">
        <v>14.5</v>
      </c>
      <c r="G19" s="5">
        <v>15.5</v>
      </c>
      <c r="H19" s="6">
        <v>16.5</v>
      </c>
      <c r="I19" s="7">
        <v>17.5</v>
      </c>
      <c r="J19" s="8">
        <v>18.5</v>
      </c>
      <c r="K19" s="9">
        <v>19.5</v>
      </c>
      <c r="L19" s="10">
        <v>20.5</v>
      </c>
      <c r="M19" s="11">
        <v>21.5</v>
      </c>
      <c r="N19" s="12">
        <v>22.5</v>
      </c>
      <c r="O19" s="13">
        <v>23.5</v>
      </c>
      <c r="P19" s="14">
        <v>24.5</v>
      </c>
      <c r="Q19" s="15">
        <v>25.5</v>
      </c>
    </row>
    <row r="20" spans="2:17" x14ac:dyDescent="0.25">
      <c r="B20">
        <v>20.5</v>
      </c>
      <c r="C20" s="1">
        <v>21.5</v>
      </c>
      <c r="D20" s="2">
        <v>22.5</v>
      </c>
      <c r="E20" s="3">
        <v>23.5</v>
      </c>
      <c r="F20" s="4">
        <v>24.5</v>
      </c>
      <c r="G20" s="5">
        <v>25.5</v>
      </c>
      <c r="H20" s="6">
        <v>26.5</v>
      </c>
      <c r="I20" s="7">
        <v>27.5</v>
      </c>
      <c r="J20" s="8">
        <v>28.5</v>
      </c>
      <c r="K20" s="9">
        <v>29.5</v>
      </c>
      <c r="L20" s="10">
        <v>30.5</v>
      </c>
      <c r="M20" s="11">
        <v>31.5</v>
      </c>
      <c r="N20" s="12">
        <v>32.5</v>
      </c>
      <c r="O20" s="13">
        <v>33.5</v>
      </c>
      <c r="P20" s="14">
        <v>34.5</v>
      </c>
      <c r="Q20" s="15">
        <v>35.5</v>
      </c>
    </row>
    <row r="21" spans="2:17" x14ac:dyDescent="0.25">
      <c r="B21">
        <v>30.5</v>
      </c>
      <c r="C21" s="1">
        <v>31.5</v>
      </c>
      <c r="D21" s="2">
        <v>32.5</v>
      </c>
      <c r="E21" s="3">
        <v>33.5</v>
      </c>
      <c r="F21" s="4">
        <v>34.5</v>
      </c>
      <c r="G21" s="5">
        <v>35.5</v>
      </c>
      <c r="H21" s="6">
        <v>36.5</v>
      </c>
      <c r="I21" s="7">
        <v>37.5</v>
      </c>
      <c r="J21" s="8">
        <v>38.5</v>
      </c>
      <c r="K21" s="9">
        <v>39.5</v>
      </c>
      <c r="L21" s="10">
        <v>40.5</v>
      </c>
      <c r="M21" s="11">
        <v>41.5</v>
      </c>
      <c r="N21" s="12">
        <v>42.5</v>
      </c>
      <c r="O21" s="13">
        <v>43.5</v>
      </c>
      <c r="P21" s="14">
        <v>44.5</v>
      </c>
      <c r="Q21" s="15">
        <v>45.5</v>
      </c>
    </row>
    <row r="22" spans="2:17" x14ac:dyDescent="0.25">
      <c r="B22">
        <v>40.5</v>
      </c>
      <c r="C22" s="1">
        <v>41.5</v>
      </c>
      <c r="D22" s="2">
        <v>42.5</v>
      </c>
      <c r="E22" s="3">
        <v>43.5</v>
      </c>
      <c r="F22" s="4">
        <v>44.5</v>
      </c>
      <c r="G22" s="5">
        <v>45.5</v>
      </c>
      <c r="H22" s="6">
        <v>46.5</v>
      </c>
      <c r="I22" s="7">
        <v>47.5</v>
      </c>
      <c r="J22" s="8">
        <v>48.5</v>
      </c>
      <c r="K22" s="9">
        <v>49.5</v>
      </c>
      <c r="L22" s="10">
        <v>50.5</v>
      </c>
      <c r="M22" s="11">
        <v>51.5</v>
      </c>
      <c r="N22" s="12">
        <v>52.5</v>
      </c>
      <c r="O22" s="13">
        <v>53.5</v>
      </c>
      <c r="P22" s="14">
        <v>54.5</v>
      </c>
      <c r="Q22" s="15">
        <v>55.5</v>
      </c>
    </row>
    <row r="23" spans="2:17" x14ac:dyDescent="0.25">
      <c r="B23" t="s">
        <v>14</v>
      </c>
      <c r="C23" s="1">
        <f>SUBTOTAL(109,Light[Light2])</f>
        <v>106</v>
      </c>
      <c r="D23" s="2">
        <f>SUBTOTAL(109,Light[Light3])</f>
        <v>110</v>
      </c>
      <c r="E23" s="3">
        <f>SUBTOTAL(109,Light[Light4])</f>
        <v>114</v>
      </c>
      <c r="F23" s="4">
        <f>SUBTOTAL(109,Light[Light5])</f>
        <v>118</v>
      </c>
      <c r="G23" s="5">
        <f>SUBTOTAL(109,Light[Light6])</f>
        <v>122</v>
      </c>
      <c r="H23" s="6">
        <f>SUBTOTAL(109,Light[Light7])</f>
        <v>126</v>
      </c>
      <c r="I23" s="7">
        <f>SUBTOTAL(109,Light[Light8])</f>
        <v>130</v>
      </c>
      <c r="J23" s="8">
        <f>SUBTOTAL(109,Light[Light9])</f>
        <v>134</v>
      </c>
      <c r="K23" s="9">
        <f>SUBTOTAL(109,Light[Light10])</f>
        <v>138</v>
      </c>
      <c r="L23" s="10">
        <f>SUBTOTAL(109,Light[Light11])</f>
        <v>142</v>
      </c>
      <c r="M23" s="11">
        <f>SUBTOTAL(109,Light[Light12])</f>
        <v>146</v>
      </c>
      <c r="N23" s="12">
        <f>SUBTOTAL(109,Light[Light13])</f>
        <v>150</v>
      </c>
      <c r="O23" s="13">
        <f>SUBTOTAL(109,Light[Light14])</f>
        <v>154</v>
      </c>
      <c r="P23" s="14">
        <f>SUBTOTAL(109,Light[Light15])</f>
        <v>158</v>
      </c>
      <c r="Q23" s="15">
        <f>SUBTOTAL(109,Light[Light16])</f>
        <v>162</v>
      </c>
    </row>
    <row r="26" spans="2:17" x14ac:dyDescent="0.25">
      <c r="B26" s="19" t="s">
        <v>88</v>
      </c>
      <c r="C26" s="20" t="s">
        <v>89</v>
      </c>
      <c r="D26" s="21" t="s">
        <v>90</v>
      </c>
      <c r="E26" t="s">
        <v>91</v>
      </c>
      <c r="H26" t="s">
        <v>92</v>
      </c>
      <c r="I26" t="s">
        <v>93</v>
      </c>
      <c r="J26" t="s">
        <v>94</v>
      </c>
    </row>
    <row r="27" spans="2:17" x14ac:dyDescent="0.25">
      <c r="B27" s="19">
        <v>10.5</v>
      </c>
      <c r="C27" s="20">
        <v>11.5</v>
      </c>
      <c r="D27" s="21">
        <v>12.5</v>
      </c>
      <c r="E27">
        <v>13.5</v>
      </c>
      <c r="H27">
        <v>10.5</v>
      </c>
      <c r="I27">
        <v>11.5</v>
      </c>
      <c r="J27">
        <v>12.5</v>
      </c>
    </row>
    <row r="28" spans="2:17" x14ac:dyDescent="0.25">
      <c r="B28">
        <v>20.5</v>
      </c>
      <c r="C28">
        <v>21.5</v>
      </c>
      <c r="D28">
        <v>22.5</v>
      </c>
      <c r="E28">
        <v>23.5</v>
      </c>
      <c r="H28">
        <v>20.5</v>
      </c>
      <c r="I28">
        <v>21.5</v>
      </c>
      <c r="J28">
        <v>22.5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2"/>
  <sheetViews>
    <sheetView workbookViewId="0"/>
  </sheetViews>
  <sheetFormatPr defaultRowHeight="15" x14ac:dyDescent="0.25"/>
  <cols>
    <col min="10" max="10" width="9.140625" hidden="1" customWidth="1"/>
  </cols>
  <sheetData>
    <row r="2" spans="2:13" x14ac:dyDescent="0.25">
      <c r="B2" t="s">
        <v>95</v>
      </c>
      <c r="C2" t="s">
        <v>96</v>
      </c>
      <c r="D2" t="s">
        <v>97</v>
      </c>
      <c r="E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</row>
    <row r="3" spans="2:13" x14ac:dyDescent="0.25">
      <c r="B3">
        <v>10.5</v>
      </c>
      <c r="C3">
        <v>11.5</v>
      </c>
      <c r="D3">
        <v>12.5</v>
      </c>
      <c r="E3">
        <v>13.5</v>
      </c>
      <c r="H3">
        <v>10.5</v>
      </c>
      <c r="I3">
        <v>11.5</v>
      </c>
      <c r="J3">
        <v>12.5</v>
      </c>
      <c r="K3">
        <v>13.5</v>
      </c>
      <c r="L3">
        <v>14.5</v>
      </c>
      <c r="M3">
        <v>15.5</v>
      </c>
    </row>
    <row r="4" spans="2:13" hidden="1" x14ac:dyDescent="0.25">
      <c r="B4">
        <v>20.5</v>
      </c>
      <c r="C4">
        <v>21.5</v>
      </c>
      <c r="D4">
        <v>22.5</v>
      </c>
      <c r="E4">
        <v>23.5</v>
      </c>
      <c r="H4">
        <v>20.5</v>
      </c>
      <c r="I4">
        <v>21.5</v>
      </c>
      <c r="J4">
        <v>22.5</v>
      </c>
      <c r="K4">
        <v>23.5</v>
      </c>
      <c r="L4">
        <v>24.5</v>
      </c>
      <c r="M4">
        <v>25.5</v>
      </c>
    </row>
    <row r="5" spans="2:13" x14ac:dyDescent="0.25">
      <c r="B5">
        <v>30.5</v>
      </c>
      <c r="C5">
        <v>31.5</v>
      </c>
      <c r="D5">
        <v>32.5</v>
      </c>
      <c r="E5">
        <v>33.5</v>
      </c>
      <c r="H5">
        <v>30.5</v>
      </c>
      <c r="I5">
        <v>31.5</v>
      </c>
      <c r="J5">
        <v>32.5</v>
      </c>
      <c r="K5">
        <v>33.5</v>
      </c>
      <c r="L5">
        <v>34.5</v>
      </c>
      <c r="M5">
        <v>35.5</v>
      </c>
    </row>
    <row r="6" spans="2:13" x14ac:dyDescent="0.25">
      <c r="B6">
        <v>40.5</v>
      </c>
      <c r="C6">
        <v>41.5</v>
      </c>
      <c r="D6">
        <v>42.5</v>
      </c>
      <c r="E6">
        <v>43.5</v>
      </c>
    </row>
    <row r="7" spans="2:13" x14ac:dyDescent="0.25">
      <c r="B7">
        <v>50.5</v>
      </c>
      <c r="C7">
        <v>51.5</v>
      </c>
      <c r="D7">
        <v>52.5</v>
      </c>
      <c r="E7">
        <v>53.5</v>
      </c>
    </row>
    <row r="8" spans="2:13" x14ac:dyDescent="0.25">
      <c r="B8">
        <v>60.5</v>
      </c>
      <c r="C8">
        <v>61.5</v>
      </c>
      <c r="D8">
        <v>62.5</v>
      </c>
      <c r="E8">
        <v>63.5</v>
      </c>
    </row>
    <row r="9" spans="2:13" hidden="1" x14ac:dyDescent="0.25">
      <c r="B9">
        <v>70.5</v>
      </c>
      <c r="C9">
        <v>71.5</v>
      </c>
      <c r="D9">
        <v>72.5</v>
      </c>
      <c r="E9">
        <v>73.5</v>
      </c>
    </row>
    <row r="10" spans="2:13" x14ac:dyDescent="0.25">
      <c r="B10">
        <v>80.5</v>
      </c>
      <c r="C10">
        <v>81.5</v>
      </c>
      <c r="D10">
        <v>82.5</v>
      </c>
      <c r="E10">
        <v>83.5</v>
      </c>
    </row>
    <row r="11" spans="2:13" x14ac:dyDescent="0.25">
      <c r="B11">
        <v>90.5</v>
      </c>
      <c r="C11">
        <v>91.5</v>
      </c>
      <c r="D11">
        <v>92.5</v>
      </c>
      <c r="E11">
        <v>93.5</v>
      </c>
    </row>
    <row r="12" spans="2:13" x14ac:dyDescent="0.25">
      <c r="B12">
        <v>100.5</v>
      </c>
      <c r="C12">
        <v>101.5</v>
      </c>
      <c r="D12">
        <v>102.5</v>
      </c>
      <c r="E12">
        <v>103.5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X74"/>
  <sheetViews>
    <sheetView workbookViewId="0"/>
  </sheetViews>
  <sheetFormatPr defaultRowHeight="15" x14ac:dyDescent="0.25"/>
  <sheetData>
    <row r="2" spans="2:24" x14ac:dyDescent="0.25">
      <c r="B2" t="s">
        <v>33</v>
      </c>
      <c r="C2" t="s">
        <v>34</v>
      </c>
      <c r="D2" t="s">
        <v>35</v>
      </c>
      <c r="F2" t="s">
        <v>33</v>
      </c>
      <c r="G2" t="s">
        <v>34</v>
      </c>
      <c r="H2" t="s">
        <v>35</v>
      </c>
      <c r="J2" t="s">
        <v>33</v>
      </c>
      <c r="K2" t="s">
        <v>34</v>
      </c>
      <c r="L2" t="s">
        <v>35</v>
      </c>
      <c r="N2" t="s">
        <v>33</v>
      </c>
      <c r="O2" t="s">
        <v>34</v>
      </c>
      <c r="P2" t="s">
        <v>35</v>
      </c>
      <c r="R2" t="s">
        <v>33</v>
      </c>
      <c r="S2" t="s">
        <v>34</v>
      </c>
      <c r="T2" t="s">
        <v>35</v>
      </c>
      <c r="V2" t="s">
        <v>33</v>
      </c>
      <c r="W2" t="s">
        <v>34</v>
      </c>
      <c r="X2" t="s">
        <v>35</v>
      </c>
    </row>
    <row r="10" spans="2:24" x14ac:dyDescent="0.25">
      <c r="B10" t="s">
        <v>33</v>
      </c>
      <c r="C10" t="s">
        <v>34</v>
      </c>
      <c r="D10" t="s">
        <v>35</v>
      </c>
      <c r="F10" t="s">
        <v>33</v>
      </c>
      <c r="G10" t="s">
        <v>34</v>
      </c>
      <c r="H10" t="s">
        <v>35</v>
      </c>
      <c r="J10" t="s">
        <v>33</v>
      </c>
      <c r="K10" t="s">
        <v>34</v>
      </c>
      <c r="L10" t="s">
        <v>35</v>
      </c>
      <c r="N10" t="s">
        <v>33</v>
      </c>
      <c r="O10" t="s">
        <v>34</v>
      </c>
      <c r="P10" t="s">
        <v>35</v>
      </c>
      <c r="R10" t="s">
        <v>33</v>
      </c>
      <c r="S10" t="s">
        <v>34</v>
      </c>
      <c r="T10" t="s">
        <v>35</v>
      </c>
      <c r="V10" t="s">
        <v>33</v>
      </c>
      <c r="W10" t="s">
        <v>34</v>
      </c>
      <c r="X10" t="s">
        <v>35</v>
      </c>
    </row>
    <row r="18" spans="2:24" x14ac:dyDescent="0.25">
      <c r="B18" t="s">
        <v>33</v>
      </c>
      <c r="C18" t="s">
        <v>34</v>
      </c>
      <c r="D18" t="s">
        <v>35</v>
      </c>
      <c r="F18" t="s">
        <v>33</v>
      </c>
      <c r="G18" t="s">
        <v>34</v>
      </c>
      <c r="H18" t="s">
        <v>35</v>
      </c>
      <c r="J18" t="s">
        <v>33</v>
      </c>
      <c r="K18" t="s">
        <v>34</v>
      </c>
      <c r="L18" t="s">
        <v>35</v>
      </c>
      <c r="N18" t="s">
        <v>33</v>
      </c>
      <c r="O18" t="s">
        <v>34</v>
      </c>
      <c r="P18" t="s">
        <v>35</v>
      </c>
      <c r="R18" t="s">
        <v>33</v>
      </c>
      <c r="S18" t="s">
        <v>34</v>
      </c>
      <c r="T18" t="s">
        <v>35</v>
      </c>
      <c r="V18" t="s">
        <v>33</v>
      </c>
      <c r="W18" t="s">
        <v>34</v>
      </c>
      <c r="X18" t="s">
        <v>35</v>
      </c>
    </row>
    <row r="26" spans="2:24" x14ac:dyDescent="0.25">
      <c r="B26" t="s">
        <v>33</v>
      </c>
      <c r="C26" t="s">
        <v>34</v>
      </c>
      <c r="D26" t="s">
        <v>35</v>
      </c>
      <c r="F26" t="s">
        <v>33</v>
      </c>
      <c r="G26" t="s">
        <v>34</v>
      </c>
      <c r="H26" t="s">
        <v>35</v>
      </c>
      <c r="J26" t="s">
        <v>33</v>
      </c>
      <c r="K26" t="s">
        <v>34</v>
      </c>
      <c r="L26" t="s">
        <v>35</v>
      </c>
      <c r="N26" t="s">
        <v>33</v>
      </c>
      <c r="O26" t="s">
        <v>34</v>
      </c>
      <c r="P26" t="s">
        <v>35</v>
      </c>
      <c r="R26" t="s">
        <v>33</v>
      </c>
      <c r="S26" t="s">
        <v>34</v>
      </c>
      <c r="T26" t="s">
        <v>35</v>
      </c>
      <c r="V26" t="s">
        <v>33</v>
      </c>
      <c r="W26" t="s">
        <v>34</v>
      </c>
      <c r="X26" t="s">
        <v>35</v>
      </c>
    </row>
    <row r="34" spans="2:24" x14ac:dyDescent="0.25">
      <c r="B34" t="s">
        <v>33</v>
      </c>
      <c r="C34" t="s">
        <v>34</v>
      </c>
      <c r="D34" t="s">
        <v>35</v>
      </c>
      <c r="F34" t="s">
        <v>33</v>
      </c>
      <c r="G34" t="s">
        <v>34</v>
      </c>
      <c r="H34" t="s">
        <v>35</v>
      </c>
      <c r="J34" t="s">
        <v>33</v>
      </c>
      <c r="K34" t="s">
        <v>34</v>
      </c>
      <c r="L34" t="s">
        <v>35</v>
      </c>
      <c r="N34" t="s">
        <v>33</v>
      </c>
      <c r="O34" t="s">
        <v>34</v>
      </c>
      <c r="P34" t="s">
        <v>35</v>
      </c>
      <c r="R34" t="s">
        <v>33</v>
      </c>
      <c r="S34" t="s">
        <v>34</v>
      </c>
      <c r="T34" t="s">
        <v>35</v>
      </c>
      <c r="V34" t="s">
        <v>33</v>
      </c>
      <c r="W34" t="s">
        <v>34</v>
      </c>
      <c r="X34" t="s">
        <v>35</v>
      </c>
    </row>
    <row r="42" spans="2:24" x14ac:dyDescent="0.25">
      <c r="B42" t="s">
        <v>33</v>
      </c>
      <c r="C42" t="s">
        <v>34</v>
      </c>
      <c r="D42" t="s">
        <v>35</v>
      </c>
      <c r="F42" t="s">
        <v>33</v>
      </c>
      <c r="G42" t="s">
        <v>34</v>
      </c>
      <c r="H42" t="s">
        <v>35</v>
      </c>
      <c r="J42" t="s">
        <v>33</v>
      </c>
      <c r="K42" t="s">
        <v>34</v>
      </c>
      <c r="L42" t="s">
        <v>35</v>
      </c>
      <c r="N42" t="s">
        <v>33</v>
      </c>
      <c r="O42" t="s">
        <v>34</v>
      </c>
      <c r="P42" t="s">
        <v>35</v>
      </c>
      <c r="R42" t="s">
        <v>33</v>
      </c>
      <c r="S42" t="s">
        <v>34</v>
      </c>
      <c r="T42" t="s">
        <v>35</v>
      </c>
      <c r="V42" t="s">
        <v>33</v>
      </c>
      <c r="W42" t="s">
        <v>34</v>
      </c>
      <c r="X42" t="s">
        <v>35</v>
      </c>
    </row>
    <row r="50" spans="2:24" x14ac:dyDescent="0.25">
      <c r="B50" t="s">
        <v>33</v>
      </c>
      <c r="C50" t="s">
        <v>34</v>
      </c>
      <c r="D50" t="s">
        <v>35</v>
      </c>
      <c r="F50" t="s">
        <v>33</v>
      </c>
      <c r="G50" t="s">
        <v>34</v>
      </c>
      <c r="H50" t="s">
        <v>35</v>
      </c>
      <c r="J50" t="s">
        <v>33</v>
      </c>
      <c r="K50" t="s">
        <v>34</v>
      </c>
      <c r="L50" t="s">
        <v>35</v>
      </c>
      <c r="N50" t="s">
        <v>33</v>
      </c>
      <c r="O50" t="s">
        <v>34</v>
      </c>
      <c r="P50" t="s">
        <v>35</v>
      </c>
      <c r="R50" t="s">
        <v>33</v>
      </c>
      <c r="S50" t="s">
        <v>34</v>
      </c>
      <c r="T50" t="s">
        <v>35</v>
      </c>
      <c r="V50" t="s">
        <v>33</v>
      </c>
      <c r="W50" t="s">
        <v>34</v>
      </c>
      <c r="X50" t="s">
        <v>35</v>
      </c>
    </row>
    <row r="58" spans="2:24" x14ac:dyDescent="0.25">
      <c r="B58" t="s">
        <v>33</v>
      </c>
      <c r="C58" t="s">
        <v>34</v>
      </c>
      <c r="D58" t="s">
        <v>35</v>
      </c>
      <c r="F58" t="s">
        <v>33</v>
      </c>
      <c r="G58" t="s">
        <v>34</v>
      </c>
      <c r="H58" t="s">
        <v>35</v>
      </c>
      <c r="J58" t="s">
        <v>33</v>
      </c>
      <c r="K58" t="s">
        <v>34</v>
      </c>
      <c r="L58" t="s">
        <v>35</v>
      </c>
      <c r="N58" t="s">
        <v>33</v>
      </c>
      <c r="O58" t="s">
        <v>34</v>
      </c>
      <c r="P58" t="s">
        <v>35</v>
      </c>
      <c r="R58" t="s">
        <v>33</v>
      </c>
      <c r="S58" t="s">
        <v>34</v>
      </c>
      <c r="T58" t="s">
        <v>35</v>
      </c>
      <c r="V58" t="s">
        <v>33</v>
      </c>
      <c r="W58" t="s">
        <v>34</v>
      </c>
      <c r="X58" t="s">
        <v>35</v>
      </c>
    </row>
    <row r="66" spans="2:24" x14ac:dyDescent="0.25">
      <c r="B66" t="s">
        <v>33</v>
      </c>
      <c r="C66" t="s">
        <v>34</v>
      </c>
      <c r="D66" t="s">
        <v>35</v>
      </c>
      <c r="F66" t="s">
        <v>33</v>
      </c>
      <c r="G66" t="s">
        <v>34</v>
      </c>
      <c r="H66" t="s">
        <v>35</v>
      </c>
      <c r="J66" t="s">
        <v>33</v>
      </c>
      <c r="K66" t="s">
        <v>34</v>
      </c>
      <c r="L66" t="s">
        <v>35</v>
      </c>
      <c r="N66" t="s">
        <v>33</v>
      </c>
      <c r="O66" t="s">
        <v>34</v>
      </c>
      <c r="P66" t="s">
        <v>35</v>
      </c>
      <c r="R66" t="s">
        <v>33</v>
      </c>
      <c r="S66" t="s">
        <v>34</v>
      </c>
      <c r="T66" t="s">
        <v>35</v>
      </c>
      <c r="V66" t="s">
        <v>33</v>
      </c>
      <c r="W66" t="s">
        <v>34</v>
      </c>
      <c r="X66" t="s">
        <v>35</v>
      </c>
    </row>
    <row r="74" spans="2:24" x14ac:dyDescent="0.25">
      <c r="B74" t="s">
        <v>33</v>
      </c>
      <c r="C74" t="s">
        <v>34</v>
      </c>
      <c r="D74" t="s">
        <v>35</v>
      </c>
      <c r="F74" t="s">
        <v>33</v>
      </c>
      <c r="G74" t="s">
        <v>34</v>
      </c>
      <c r="H74" t="s">
        <v>35</v>
      </c>
      <c r="J74" t="s">
        <v>33</v>
      </c>
      <c r="K74" t="s">
        <v>34</v>
      </c>
      <c r="L74" t="s">
        <v>35</v>
      </c>
      <c r="N74" t="s">
        <v>33</v>
      </c>
      <c r="O74" t="s">
        <v>34</v>
      </c>
      <c r="P74" t="s">
        <v>35</v>
      </c>
      <c r="R74" t="s">
        <v>33</v>
      </c>
      <c r="S74" t="s">
        <v>34</v>
      </c>
      <c r="T74" t="s">
        <v>35</v>
      </c>
      <c r="V74" t="s">
        <v>33</v>
      </c>
      <c r="W74" t="s">
        <v>34</v>
      </c>
      <c r="X74" t="s">
        <v>35</v>
      </c>
    </row>
  </sheetData>
  <pageMargins left="0.7" right="0.7" top="0.75" bottom="0.75" header="0.3" footer="0.3"/>
  <tableParts count="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Lines</vt:lpstr>
      <vt:lpstr>Direct</vt:lpstr>
      <vt:lpstr>Hidden</vt:lpstr>
      <vt:lpstr>Builtin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2026-10-23T06:38:00Z</dcterms:created>
  <dcterms:modified xsi:type="dcterms:W3CDTF">2026-10-23T06:38:00Z</dcterms:modified>
</cp:coreProperties>
</file>