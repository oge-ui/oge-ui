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ge\apps\dev-app\public\demo\spreadsheet\"/>
    </mc:Choice>
  </mc:AlternateContent>
  <xr:revisionPtr revIDLastSave="0" documentId="8_{36D42000-FDD3-4AD5-B9F4-4AB258292577}" xr6:coauthVersionLast="47" xr6:coauthVersionMax="47" xr10:uidLastSave="{00000000-0000-0000-0000-000000000000}"/>
  <bookViews>
    <workbookView xWindow="-28800" yWindow="1980" windowWidth="21000" windowHeight="13500" xr2:uid="{00000000-000D-0000-FFFF-FFFF00000000}"/>
  </bookViews>
  <sheets>
    <sheet name="Sales" sheetId="1" r:id="rId1"/>
    <sheet name="Inventory" sheetId="2" r:id="rId2"/>
    <sheet name="Teams" sheetId="3" r:id="rId3"/>
    <sheet name="Sty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3" l="1"/>
  <c r="E8" i="3"/>
  <c r="D8" i="3"/>
  <c r="G15" i="1"/>
  <c r="F15" i="1"/>
  <c r="E15" i="1"/>
  <c r="D15" i="1"/>
</calcChain>
</file>

<file path=xl/sharedStrings.xml><?xml version="1.0" encoding="utf-8"?>
<sst xmlns="http://schemas.openxmlformats.org/spreadsheetml/2006/main" count="167" uniqueCount="68">
  <si>
    <t>Region</t>
  </si>
  <si>
    <t>Product</t>
  </si>
  <si>
    <t>Q1</t>
  </si>
  <si>
    <t>Q2</t>
  </si>
  <si>
    <t>Q3</t>
  </si>
  <si>
    <t>Q4</t>
  </si>
  <si>
    <t>North</t>
  </si>
  <si>
    <t>Laptops</t>
  </si>
  <si>
    <t>Monitors</t>
  </si>
  <si>
    <t>Docks</t>
  </si>
  <si>
    <t>South</t>
  </si>
  <si>
    <t>East</t>
  </si>
  <si>
    <t>West</t>
  </si>
  <si>
    <t>Total</t>
  </si>
  <si>
    <t>SKU</t>
  </si>
  <si>
    <t>Item</t>
  </si>
  <si>
    <t>Category</t>
  </si>
  <si>
    <t>In stock</t>
  </si>
  <si>
    <t>Reorder at</t>
  </si>
  <si>
    <t>Unit price</t>
  </si>
  <si>
    <t>SKU-1001</t>
  </si>
  <si>
    <t>Laptop 14"</t>
  </si>
  <si>
    <t>Computers</t>
  </si>
  <si>
    <t>SKU-1008</t>
  </si>
  <si>
    <t>Laptop 16"</t>
  </si>
  <si>
    <t>SKU-1015</t>
  </si>
  <si>
    <t>Monitor 24"</t>
  </si>
  <si>
    <t>Displays</t>
  </si>
  <si>
    <t>SKU-1022</t>
  </si>
  <si>
    <t>Monitor 27"</t>
  </si>
  <si>
    <t>SKU-1029</t>
  </si>
  <si>
    <t>USB-C dock</t>
  </si>
  <si>
    <t>Accessories</t>
  </si>
  <si>
    <t>SKU-1036</t>
  </si>
  <si>
    <t>Keyboard</t>
  </si>
  <si>
    <t>SKU-1043</t>
  </si>
  <si>
    <t>Mouse</t>
  </si>
  <si>
    <t>SKU-1050</t>
  </si>
  <si>
    <t>Headset</t>
  </si>
  <si>
    <t>Audio</t>
  </si>
  <si>
    <t>SKU-1057</t>
  </si>
  <si>
    <t>Webcam</t>
  </si>
  <si>
    <t>Video</t>
  </si>
  <si>
    <t>SKU-1064</t>
  </si>
  <si>
    <t>Desk lamp</t>
  </si>
  <si>
    <t>Office</t>
  </si>
  <si>
    <t>Team</t>
  </si>
  <si>
    <t>Lead</t>
  </si>
  <si>
    <t>Members</t>
  </si>
  <si>
    <t>Open</t>
  </si>
  <si>
    <t>Done</t>
  </si>
  <si>
    <t>Platform</t>
  </si>
  <si>
    <t>Ada</t>
  </si>
  <si>
    <t>Mobile</t>
  </si>
  <si>
    <t>Grace</t>
  </si>
  <si>
    <t>Data</t>
  </si>
  <si>
    <t>Edsger</t>
  </si>
  <si>
    <t>Design</t>
  </si>
  <si>
    <t>Margaret</t>
  </si>
  <si>
    <t>Support</t>
  </si>
  <si>
    <t>Alan</t>
  </si>
  <si>
    <t>Month</t>
  </si>
  <si>
    <t>Plan</t>
  </si>
  <si>
    <t>Actual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</si>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</sst>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B2:G15" totalsRowCount="1">
  <autoFilter ref="B2:G14" xr:uid="{00000000-0009-0000-0100-000001000000}"/>
  <tableColumns count="6">
    <tableColumn id="1" xr3:uid="{00000000-0010-0000-0000-000001000000}" name="Region" totalsRowLabel="Total"/>
    <tableColumn id="2" xr3:uid="{00000000-0010-0000-0000-000002000000}" name="Product"/>
    <tableColumn id="3" xr3:uid="{00000000-0010-0000-0000-000003000000}" name="Q1" totalsRowFunction="sum"/>
    <tableColumn id="4" xr3:uid="{00000000-0010-0000-0000-000004000000}" name="Q2" totalsRowFunction="sum"/>
    <tableColumn id="5" xr3:uid="{00000000-0010-0000-0000-000005000000}" name="Q3" totalsRowFunction="sum"/>
    <tableColumn id="6" xr3:uid="{00000000-0010-0000-0000-000006000000}" name="Q4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" displayName="Inventory" ref="B2:G12">
  <autoFilter ref="B2:G12" xr:uid="{00000000-0009-0000-0100-000002000000}"/>
  <tableColumns count="6">
    <tableColumn id="1" xr3:uid="{00000000-0010-0000-0100-000001000000}" name="SKU"/>
    <tableColumn id="2" xr3:uid="{00000000-0010-0000-0100-000002000000}" name="Item"/>
    <tableColumn id="3" xr3:uid="{00000000-0010-0000-0100-000003000000}" name="Category"/>
    <tableColumn id="4" xr3:uid="{00000000-0010-0000-0100-000004000000}" name="In stock"/>
    <tableColumn id="5" xr3:uid="{00000000-0010-0000-0100-000005000000}" name="Reorder at"/>
    <tableColumn id="6" xr3:uid="{00000000-0010-0000-0100-000006000000}" name="Unit price"/>
  </tableColumns>
  <tableStyleInfo name="TableStyleLight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s" displayName="Teams" ref="B2:F8" totalsRowCount="1">
  <autoFilter ref="B2:F7" xr:uid="{00000000-0009-0000-0100-000003000000}"/>
  <tableColumns count="5">
    <tableColumn id="1" xr3:uid="{00000000-0010-0000-0200-000001000000}" name="Team" totalsRowLabel="Total"/>
    <tableColumn id="2" xr3:uid="{00000000-0010-0000-0200-000002000000}" name="Lead"/>
    <tableColumn id="3" xr3:uid="{00000000-0010-0000-0200-000003000000}" name="Members" totalsRowFunction="sum"/>
    <tableColumn id="4" xr3:uid="{00000000-0010-0000-0200-000004000000}" name="Open" totalsRowFunction="sum"/>
    <tableColumn id="5" xr3:uid="{00000000-0010-0000-0200-000005000000}" name="Done" totalsRowFunction="sum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ght1" displayName="Light1" ref="B2:D6">
  <tableColumns count="3">
    <tableColumn id="1" xr3:uid="{00000000-0010-0000-0300-000001000000}" name="Month"/>
    <tableColumn id="2" xr3:uid="{00000000-0010-0000-0300-000002000000}" name="Plan"/>
    <tableColumn id="3" xr3:uid="{00000000-0010-0000-0300-000003000000}" name="Actual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ght9" displayName="Light9" ref="F2:H6">
  <tableColumns count="3">
    <tableColumn id="1" xr3:uid="{00000000-0010-0000-0400-000001000000}" name="Month"/>
    <tableColumn id="2" xr3:uid="{00000000-0010-0000-0400-000002000000}" name="Plan"/>
    <tableColumn id="3" xr3:uid="{00000000-0010-0000-0400-000003000000}" name="Actu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ght15" displayName="Light15" ref="J2:L6">
  <tableColumns count="3">
    <tableColumn id="1" xr3:uid="{00000000-0010-0000-0500-000001000000}" name="Month"/>
    <tableColumn id="2" xr3:uid="{00000000-0010-0000-0500-000002000000}" name="Plan"/>
    <tableColumn id="3" xr3:uid="{00000000-0010-0000-0500-000003000000}" name="Actual"/>
  </tableColumns>
  <tableStyleInfo name="TableStyleLight15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ight18" displayName="Light18" ref="B9:D13">
  <tableColumns count="3">
    <tableColumn id="1" xr3:uid="{00000000-0010-0000-0600-000001000000}" name="Month"/>
    <tableColumn id="2" xr3:uid="{00000000-0010-0000-0600-000002000000}" name="Plan"/>
    <tableColumn id="3" xr3:uid="{00000000-0010-0000-0600-000003000000}" name="Actual"/>
  </tableColumns>
  <tableStyleInfo name="TableStyleLight18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edium2" displayName="Medium2" ref="F9:H13">
  <tableColumns count="3">
    <tableColumn id="1" xr3:uid="{00000000-0010-0000-0700-000001000000}" name="Month"/>
    <tableColumn id="2" xr3:uid="{00000000-0010-0000-0700-000002000000}" name="Plan"/>
    <tableColumn id="3" xr3:uid="{00000000-0010-0000-0700-000003000000}" name="Actual"/>
  </tableColumns>
  <tableStyleInfo name="TableStyleMedium2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edium4" displayName="Medium4" ref="J9:L13">
  <tableColumns count="3">
    <tableColumn id="1" xr3:uid="{00000000-0010-0000-0800-000001000000}" name="Month"/>
    <tableColumn id="2" xr3:uid="{00000000-0010-0000-0800-000002000000}" name="Plan"/>
    <tableColumn id="3" xr3:uid="{00000000-0010-0000-0800-000003000000}" name="Actual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edium9" displayName="Medium9" ref="B16:D20">
  <tableColumns count="3">
    <tableColumn id="1" xr3:uid="{00000000-0010-0000-0900-000001000000}" name="Month"/>
    <tableColumn id="2" xr3:uid="{00000000-0010-0000-0900-000002000000}" name="Plan"/>
    <tableColumn id="3" xr3:uid="{00000000-0010-0000-0900-000003000000}" name="Actual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edium14" displayName="Medium14" ref="F16:H20">
  <tableColumns count="3">
    <tableColumn id="1" xr3:uid="{00000000-0010-0000-0A00-000001000000}" name="Month"/>
    <tableColumn id="2" xr3:uid="{00000000-0010-0000-0A00-000002000000}" name="Plan"/>
    <tableColumn id="3" xr3:uid="{00000000-0010-0000-0A00-000003000000}" name="Actual"/>
  </tableColumns>
  <tableStyleInfo name="TableStyleMedium14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Medium17" displayName="Medium17" ref="J16:L20">
  <tableColumns count="3">
    <tableColumn id="1" xr3:uid="{00000000-0010-0000-0B00-000001000000}" name="Month"/>
    <tableColumn id="2" xr3:uid="{00000000-0010-0000-0B00-000002000000}" name="Plan"/>
    <tableColumn id="3" xr3:uid="{00000000-0010-0000-0B00-000003000000}" name="Actual"/>
  </tableColumns>
  <tableStyleInfo name="TableStyleMedium17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rk1" displayName="Dark1" ref="B23:D27">
  <tableColumns count="3">
    <tableColumn id="1" xr3:uid="{00000000-0010-0000-0C00-000001000000}" name="Month"/>
    <tableColumn id="2" xr3:uid="{00000000-0010-0000-0C00-000002000000}" name="Plan"/>
    <tableColumn id="3" xr3:uid="{00000000-0010-0000-0C00-000003000000}" name="Actual"/>
  </tableColumns>
  <tableStyleInfo name="TableStyleDark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rk8" displayName="Dark8" ref="F23:H27">
  <tableColumns count="3">
    <tableColumn id="1" xr3:uid="{00000000-0010-0000-0D00-000001000000}" name="Month"/>
    <tableColumn id="2" xr3:uid="{00000000-0010-0000-0D00-000002000000}" name="Plan"/>
    <tableColumn id="3" xr3:uid="{00000000-0010-0000-0D00-000003000000}" name="Actual"/>
  </tableColumns>
  <tableStyleInfo name="TableStyleDark8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ark10" displayName="Dark10" ref="J23:L27">
  <tableColumns count="3">
    <tableColumn id="1" xr3:uid="{00000000-0010-0000-0E00-000001000000}" name="Month"/>
    <tableColumn id="2" xr3:uid="{00000000-0010-0000-0E00-000002000000}" name="Plan"/>
    <tableColumn id="3" xr3:uid="{00000000-0010-0000-0E00-000003000000}" name="Actual"/>
  </tableColumns>
  <tableStyleInfo name="TableStyleDark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/>
  </sheetViews>
  <sheetFormatPr defaultRowHeight="15" x14ac:dyDescent="0.25"/>
  <cols>
    <col min="1" max="1" width="3" customWidth="1"/>
    <col min="2" max="3" width="12" customWidth="1"/>
    <col min="4" max="7" width="10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t="s">
        <v>6</v>
      </c>
      <c r="C3" t="s">
        <v>7</v>
      </c>
      <c r="D3" s="1">
        <v>6000</v>
      </c>
      <c r="E3" s="1">
        <v>6500</v>
      </c>
      <c r="F3" s="1">
        <v>3000</v>
      </c>
      <c r="G3" s="1">
        <v>4000</v>
      </c>
    </row>
    <row r="4" spans="2:7" x14ac:dyDescent="0.25">
      <c r="B4" t="s">
        <v>6</v>
      </c>
      <c r="C4" t="s">
        <v>8</v>
      </c>
      <c r="D4" s="1">
        <v>5500</v>
      </c>
      <c r="E4" s="1">
        <v>6000</v>
      </c>
      <c r="F4" s="1">
        <v>2750</v>
      </c>
      <c r="G4" s="1">
        <v>9000</v>
      </c>
    </row>
    <row r="5" spans="2:7" x14ac:dyDescent="0.25">
      <c r="B5" t="s">
        <v>6</v>
      </c>
      <c r="C5" t="s">
        <v>9</v>
      </c>
      <c r="D5" s="1">
        <v>6750</v>
      </c>
      <c r="E5" s="1">
        <v>5250</v>
      </c>
      <c r="F5" s="1">
        <v>4250</v>
      </c>
      <c r="G5" s="1">
        <v>8250</v>
      </c>
    </row>
    <row r="6" spans="2:7" x14ac:dyDescent="0.25">
      <c r="B6" t="s">
        <v>10</v>
      </c>
      <c r="C6" t="s">
        <v>7</v>
      </c>
      <c r="D6" s="1">
        <v>7250</v>
      </c>
      <c r="E6" s="1">
        <v>2500</v>
      </c>
      <c r="F6" s="1">
        <v>6000</v>
      </c>
      <c r="G6" s="1">
        <v>4000</v>
      </c>
    </row>
    <row r="7" spans="2:7" x14ac:dyDescent="0.25">
      <c r="B7" t="s">
        <v>10</v>
      </c>
      <c r="C7" t="s">
        <v>8</v>
      </c>
      <c r="D7" s="1">
        <v>7500</v>
      </c>
      <c r="E7" s="1">
        <v>3250</v>
      </c>
      <c r="F7" s="1">
        <v>6500</v>
      </c>
      <c r="G7" s="1">
        <v>6000</v>
      </c>
    </row>
    <row r="8" spans="2:7" x14ac:dyDescent="0.25">
      <c r="B8" t="s">
        <v>10</v>
      </c>
      <c r="C8" t="s">
        <v>9</v>
      </c>
      <c r="D8" s="1">
        <v>3500</v>
      </c>
      <c r="E8" s="1">
        <v>2500</v>
      </c>
      <c r="F8" s="1">
        <v>9500</v>
      </c>
      <c r="G8" s="1">
        <v>9750</v>
      </c>
    </row>
    <row r="9" spans="2:7" x14ac:dyDescent="0.25">
      <c r="B9" t="s">
        <v>11</v>
      </c>
      <c r="C9" t="s">
        <v>7</v>
      </c>
      <c r="D9" s="1">
        <v>3000</v>
      </c>
      <c r="E9" s="1">
        <v>5500</v>
      </c>
      <c r="F9" s="1">
        <v>9750</v>
      </c>
      <c r="G9" s="1">
        <v>3500</v>
      </c>
    </row>
    <row r="10" spans="2:7" x14ac:dyDescent="0.25">
      <c r="B10" t="s">
        <v>11</v>
      </c>
      <c r="C10" t="s">
        <v>8</v>
      </c>
      <c r="D10" s="1">
        <v>5250</v>
      </c>
      <c r="E10" s="1">
        <v>6500</v>
      </c>
      <c r="F10" s="1">
        <v>7250</v>
      </c>
      <c r="G10" s="1">
        <v>4250</v>
      </c>
    </row>
    <row r="11" spans="2:7" x14ac:dyDescent="0.25">
      <c r="B11" t="s">
        <v>11</v>
      </c>
      <c r="C11" t="s">
        <v>9</v>
      </c>
      <c r="D11" s="1">
        <v>3250</v>
      </c>
      <c r="E11" s="1">
        <v>10000</v>
      </c>
      <c r="F11" s="1">
        <v>5500</v>
      </c>
      <c r="G11" s="1">
        <v>3750</v>
      </c>
    </row>
    <row r="12" spans="2:7" x14ac:dyDescent="0.25">
      <c r="B12" t="s">
        <v>12</v>
      </c>
      <c r="C12" t="s">
        <v>7</v>
      </c>
      <c r="D12" s="1">
        <v>6500</v>
      </c>
      <c r="E12" s="1">
        <v>4750</v>
      </c>
      <c r="F12" s="1">
        <v>3250</v>
      </c>
      <c r="G12" s="1">
        <v>8250</v>
      </c>
    </row>
    <row r="13" spans="2:7" x14ac:dyDescent="0.25">
      <c r="B13" t="s">
        <v>12</v>
      </c>
      <c r="C13" t="s">
        <v>8</v>
      </c>
      <c r="D13" s="1">
        <v>4750</v>
      </c>
      <c r="E13" s="1">
        <v>4750</v>
      </c>
      <c r="F13" s="1">
        <v>2750</v>
      </c>
      <c r="G13" s="1">
        <v>9500</v>
      </c>
    </row>
    <row r="14" spans="2:7" x14ac:dyDescent="0.25">
      <c r="B14" t="s">
        <v>12</v>
      </c>
      <c r="C14" t="s">
        <v>9</v>
      </c>
      <c r="D14" s="1">
        <v>4000</v>
      </c>
      <c r="E14" s="1">
        <v>9000</v>
      </c>
      <c r="F14" s="1">
        <v>5750</v>
      </c>
      <c r="G14" s="1">
        <v>4000</v>
      </c>
    </row>
    <row r="15" spans="2:7" x14ac:dyDescent="0.25">
      <c r="B15" t="s">
        <v>13</v>
      </c>
      <c r="D15" s="1">
        <f>SUBTOTAL(109,Sales[Q1])</f>
        <v>63250</v>
      </c>
      <c r="E15" s="1">
        <f>SUBTOTAL(109,Sales[Q2])</f>
        <v>66500</v>
      </c>
      <c r="F15" s="1">
        <f>SUBTOTAL(109,Sales[Q3])</f>
        <v>66250</v>
      </c>
      <c r="G15" s="1">
        <f>SUBTOTAL(109,Sales[Q4])</f>
        <v>74250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2"/>
  <sheetViews>
    <sheetView workbookViewId="0"/>
  </sheetViews>
  <sheetFormatPr defaultRowHeight="15" x14ac:dyDescent="0.25"/>
  <cols>
    <col min="1" max="1" width="3" customWidth="1"/>
    <col min="2" max="2" width="12" customWidth="1"/>
    <col min="3" max="4" width="14" customWidth="1"/>
    <col min="5" max="5" width="10" customWidth="1"/>
    <col min="6" max="7" width="12" customWidth="1"/>
  </cols>
  <sheetData>
    <row r="2" spans="2:7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2:7" x14ac:dyDescent="0.25">
      <c r="B3" t="s">
        <v>20</v>
      </c>
      <c r="C3" t="s">
        <v>21</v>
      </c>
      <c r="D3" t="s">
        <v>22</v>
      </c>
      <c r="E3" s="1">
        <v>72</v>
      </c>
      <c r="F3" s="1">
        <v>18</v>
      </c>
      <c r="G3" s="2">
        <v>899</v>
      </c>
    </row>
    <row r="4" spans="2:7" x14ac:dyDescent="0.25">
      <c r="B4" t="s">
        <v>23</v>
      </c>
      <c r="C4" t="s">
        <v>24</v>
      </c>
      <c r="D4" t="s">
        <v>22</v>
      </c>
      <c r="E4" s="1">
        <v>91</v>
      </c>
      <c r="F4" s="1">
        <v>23</v>
      </c>
      <c r="G4" s="2">
        <v>1249</v>
      </c>
    </row>
    <row r="5" spans="2:7" x14ac:dyDescent="0.25">
      <c r="B5" t="s">
        <v>25</v>
      </c>
      <c r="C5" t="s">
        <v>26</v>
      </c>
      <c r="D5" t="s">
        <v>27</v>
      </c>
      <c r="E5" s="1">
        <v>16</v>
      </c>
      <c r="F5" s="1">
        <v>14</v>
      </c>
      <c r="G5" s="2">
        <v>189</v>
      </c>
    </row>
    <row r="6" spans="2:7" x14ac:dyDescent="0.25">
      <c r="B6" t="s">
        <v>28</v>
      </c>
      <c r="C6" t="s">
        <v>29</v>
      </c>
      <c r="D6" t="s">
        <v>27</v>
      </c>
      <c r="E6" s="1">
        <v>54</v>
      </c>
      <c r="F6" s="1">
        <v>12</v>
      </c>
      <c r="G6" s="2">
        <v>279</v>
      </c>
    </row>
    <row r="7" spans="2:7" x14ac:dyDescent="0.25">
      <c r="B7" t="s">
        <v>30</v>
      </c>
      <c r="C7" t="s">
        <v>31</v>
      </c>
      <c r="D7" t="s">
        <v>32</v>
      </c>
      <c r="E7" s="1">
        <v>6</v>
      </c>
      <c r="F7" s="1">
        <v>18</v>
      </c>
      <c r="G7" s="2">
        <v>149</v>
      </c>
    </row>
    <row r="8" spans="2:7" x14ac:dyDescent="0.25">
      <c r="B8" t="s">
        <v>33</v>
      </c>
      <c r="C8" t="s">
        <v>34</v>
      </c>
      <c r="D8" t="s">
        <v>32</v>
      </c>
      <c r="E8" s="1">
        <v>82</v>
      </c>
      <c r="F8" s="1">
        <v>23</v>
      </c>
      <c r="G8" s="2">
        <v>59</v>
      </c>
    </row>
    <row r="9" spans="2:7" x14ac:dyDescent="0.25">
      <c r="B9" t="s">
        <v>35</v>
      </c>
      <c r="C9" t="s">
        <v>36</v>
      </c>
      <c r="D9" t="s">
        <v>32</v>
      </c>
      <c r="E9" s="1">
        <v>115</v>
      </c>
      <c r="F9" s="1">
        <v>16</v>
      </c>
      <c r="G9" s="2">
        <v>29</v>
      </c>
    </row>
    <row r="10" spans="2:7" x14ac:dyDescent="0.25">
      <c r="B10" t="s">
        <v>37</v>
      </c>
      <c r="C10" t="s">
        <v>38</v>
      </c>
      <c r="D10" t="s">
        <v>39</v>
      </c>
      <c r="E10" s="1">
        <v>53</v>
      </c>
      <c r="F10" s="1">
        <v>20</v>
      </c>
      <c r="G10" s="2">
        <v>89</v>
      </c>
    </row>
    <row r="11" spans="2:7" x14ac:dyDescent="0.25">
      <c r="B11" t="s">
        <v>40</v>
      </c>
      <c r="C11" t="s">
        <v>41</v>
      </c>
      <c r="D11" t="s">
        <v>42</v>
      </c>
      <c r="E11" s="1">
        <v>53</v>
      </c>
      <c r="F11" s="1">
        <v>27</v>
      </c>
      <c r="G11" s="2">
        <v>79</v>
      </c>
    </row>
    <row r="12" spans="2:7" x14ac:dyDescent="0.25">
      <c r="B12" t="s">
        <v>43</v>
      </c>
      <c r="C12" t="s">
        <v>44</v>
      </c>
      <c r="D12" t="s">
        <v>45</v>
      </c>
      <c r="E12" s="1">
        <v>54</v>
      </c>
      <c r="F12" s="1">
        <v>19</v>
      </c>
      <c r="G12" s="2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"/>
  <sheetViews>
    <sheetView workbookViewId="0"/>
  </sheetViews>
  <sheetFormatPr defaultRowHeight="15" x14ac:dyDescent="0.25"/>
  <cols>
    <col min="1" max="1" width="3" customWidth="1"/>
    <col min="2" max="2" width="14" customWidth="1"/>
    <col min="3" max="3" width="12" customWidth="1"/>
    <col min="4" max="4" width="11" customWidth="1"/>
    <col min="5" max="6" width="9" customWidth="1"/>
  </cols>
  <sheetData>
    <row r="2" spans="2:6" x14ac:dyDescent="0.25"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2:6" x14ac:dyDescent="0.25">
      <c r="B3" t="s">
        <v>51</v>
      </c>
      <c r="C3" t="s">
        <v>52</v>
      </c>
      <c r="D3" s="1">
        <v>6</v>
      </c>
      <c r="E3" s="1">
        <v>14</v>
      </c>
      <c r="F3" s="1">
        <v>52</v>
      </c>
    </row>
    <row r="4" spans="2:6" x14ac:dyDescent="0.25">
      <c r="B4" t="s">
        <v>53</v>
      </c>
      <c r="C4" t="s">
        <v>54</v>
      </c>
      <c r="D4" s="1">
        <v>4</v>
      </c>
      <c r="E4" s="1">
        <v>9</v>
      </c>
      <c r="F4" s="1">
        <v>31</v>
      </c>
    </row>
    <row r="5" spans="2:6" x14ac:dyDescent="0.25">
      <c r="B5" t="s">
        <v>55</v>
      </c>
      <c r="C5" t="s">
        <v>56</v>
      </c>
      <c r="D5" s="1">
        <v>5</v>
      </c>
      <c r="E5" s="1">
        <v>7</v>
      </c>
      <c r="F5" s="1">
        <v>44</v>
      </c>
    </row>
    <row r="6" spans="2:6" x14ac:dyDescent="0.25">
      <c r="B6" t="s">
        <v>57</v>
      </c>
      <c r="C6" t="s">
        <v>58</v>
      </c>
      <c r="D6" s="1">
        <v>3</v>
      </c>
      <c r="E6" s="1">
        <v>5</v>
      </c>
      <c r="F6" s="1">
        <v>27</v>
      </c>
    </row>
    <row r="7" spans="2:6" x14ac:dyDescent="0.25">
      <c r="B7" t="s">
        <v>59</v>
      </c>
      <c r="C7" t="s">
        <v>60</v>
      </c>
      <c r="D7" s="1">
        <v>8</v>
      </c>
      <c r="E7" s="1">
        <v>21</v>
      </c>
      <c r="F7" s="1">
        <v>96</v>
      </c>
    </row>
    <row r="8" spans="2:6" x14ac:dyDescent="0.25">
      <c r="B8" t="s">
        <v>13</v>
      </c>
      <c r="D8" s="1">
        <f>SUBTOTAL(109,Teams[Members])</f>
        <v>26</v>
      </c>
      <c r="E8" s="1">
        <f>SUBTOTAL(109,Teams[Open])</f>
        <v>56</v>
      </c>
      <c r="F8" s="1">
        <f>SUBTOTAL(109,Teams[Done])</f>
        <v>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7"/>
  <sheetViews>
    <sheetView workbookViewId="0"/>
  </sheetViews>
  <sheetFormatPr defaultRowHeight="15" x14ac:dyDescent="0.25"/>
  <cols>
    <col min="1" max="1" width="3" customWidth="1"/>
    <col min="2" max="2" width="10" customWidth="1"/>
    <col min="3" max="4" width="9" customWidth="1"/>
    <col min="5" max="5" width="3" customWidth="1"/>
    <col min="6" max="6" width="10" customWidth="1"/>
    <col min="7" max="8" width="9" customWidth="1"/>
    <col min="9" max="9" width="3" customWidth="1"/>
    <col min="10" max="10" width="10" customWidth="1"/>
    <col min="11" max="12" width="9" customWidth="1"/>
  </cols>
  <sheetData>
    <row r="2" spans="2:12" x14ac:dyDescent="0.25">
      <c r="B2" t="s">
        <v>61</v>
      </c>
      <c r="C2" t="s">
        <v>62</v>
      </c>
      <c r="D2" t="s">
        <v>63</v>
      </c>
      <c r="F2" t="s">
        <v>61</v>
      </c>
      <c r="G2" t="s">
        <v>62</v>
      </c>
      <c r="H2" t="s">
        <v>63</v>
      </c>
      <c r="J2" t="s">
        <v>61</v>
      </c>
      <c r="K2" t="s">
        <v>62</v>
      </c>
      <c r="L2" t="s">
        <v>63</v>
      </c>
    </row>
    <row r="3" spans="2:12" x14ac:dyDescent="0.25">
      <c r="B3" t="s">
        <v>64</v>
      </c>
      <c r="C3" s="1">
        <v>530</v>
      </c>
      <c r="D3" s="1">
        <v>520</v>
      </c>
      <c r="F3" t="s">
        <v>64</v>
      </c>
      <c r="G3" s="1">
        <v>860</v>
      </c>
      <c r="H3" s="1">
        <v>830</v>
      </c>
      <c r="J3" t="s">
        <v>64</v>
      </c>
      <c r="K3" s="1">
        <v>510</v>
      </c>
      <c r="L3" s="1">
        <v>600</v>
      </c>
    </row>
    <row r="4" spans="2:12" x14ac:dyDescent="0.25">
      <c r="B4" t="s">
        <v>65</v>
      </c>
      <c r="C4" s="1">
        <v>770</v>
      </c>
      <c r="D4" s="1">
        <v>470</v>
      </c>
      <c r="F4" t="s">
        <v>65</v>
      </c>
      <c r="G4" s="1">
        <v>770</v>
      </c>
      <c r="H4" s="1">
        <v>720</v>
      </c>
      <c r="J4" t="s">
        <v>65</v>
      </c>
      <c r="K4" s="1">
        <v>740</v>
      </c>
      <c r="L4" s="1">
        <v>770</v>
      </c>
    </row>
    <row r="5" spans="2:12" x14ac:dyDescent="0.25">
      <c r="B5" t="s">
        <v>66</v>
      </c>
      <c r="C5" s="1">
        <v>540</v>
      </c>
      <c r="D5" s="1">
        <v>780</v>
      </c>
      <c r="F5" t="s">
        <v>66</v>
      </c>
      <c r="G5" s="1">
        <v>680</v>
      </c>
      <c r="H5" s="1">
        <v>410</v>
      </c>
      <c r="J5" t="s">
        <v>66</v>
      </c>
      <c r="K5" s="1">
        <v>530</v>
      </c>
      <c r="L5" s="1">
        <v>880</v>
      </c>
    </row>
    <row r="6" spans="2:12" x14ac:dyDescent="0.25">
      <c r="B6" t="s">
        <v>67</v>
      </c>
      <c r="C6" s="1">
        <v>830</v>
      </c>
      <c r="D6" s="1">
        <v>880</v>
      </c>
      <c r="F6" t="s">
        <v>67</v>
      </c>
      <c r="G6" s="1">
        <v>560</v>
      </c>
      <c r="H6" s="1">
        <v>580</v>
      </c>
      <c r="J6" t="s">
        <v>67</v>
      </c>
      <c r="K6" s="1">
        <v>400</v>
      </c>
      <c r="L6" s="1">
        <v>580</v>
      </c>
    </row>
    <row r="9" spans="2:12" x14ac:dyDescent="0.25">
      <c r="B9" t="s">
        <v>61</v>
      </c>
      <c r="C9" t="s">
        <v>62</v>
      </c>
      <c r="D9" t="s">
        <v>63</v>
      </c>
      <c r="F9" t="s">
        <v>61</v>
      </c>
      <c r="G9" t="s">
        <v>62</v>
      </c>
      <c r="H9" t="s">
        <v>63</v>
      </c>
      <c r="J9" t="s">
        <v>61</v>
      </c>
      <c r="K9" t="s">
        <v>62</v>
      </c>
      <c r="L9" t="s">
        <v>63</v>
      </c>
    </row>
    <row r="10" spans="2:12" x14ac:dyDescent="0.25">
      <c r="B10" t="s">
        <v>64</v>
      </c>
      <c r="C10" s="1">
        <v>690</v>
      </c>
      <c r="D10" s="1">
        <v>620</v>
      </c>
      <c r="F10" t="s">
        <v>64</v>
      </c>
      <c r="G10" s="1">
        <v>460</v>
      </c>
      <c r="H10" s="1">
        <v>800</v>
      </c>
      <c r="J10" t="s">
        <v>64</v>
      </c>
      <c r="K10" s="1">
        <v>730</v>
      </c>
      <c r="L10" s="1">
        <v>830</v>
      </c>
    </row>
    <row r="11" spans="2:12" x14ac:dyDescent="0.25">
      <c r="B11" t="s">
        <v>65</v>
      </c>
      <c r="C11" s="1">
        <v>440</v>
      </c>
      <c r="D11" s="1">
        <v>900</v>
      </c>
      <c r="F11" t="s">
        <v>65</v>
      </c>
      <c r="G11" s="1">
        <v>850</v>
      </c>
      <c r="H11" s="1">
        <v>530</v>
      </c>
      <c r="J11" t="s">
        <v>65</v>
      </c>
      <c r="K11" s="1">
        <v>510</v>
      </c>
      <c r="L11" s="1">
        <v>820</v>
      </c>
    </row>
    <row r="12" spans="2:12" x14ac:dyDescent="0.25">
      <c r="B12" t="s">
        <v>66</v>
      </c>
      <c r="C12" s="1">
        <v>630</v>
      </c>
      <c r="D12" s="1">
        <v>840</v>
      </c>
      <c r="F12" t="s">
        <v>66</v>
      </c>
      <c r="G12" s="1">
        <v>410</v>
      </c>
      <c r="H12" s="1">
        <v>480</v>
      </c>
      <c r="J12" t="s">
        <v>66</v>
      </c>
      <c r="K12" s="1">
        <v>480</v>
      </c>
      <c r="L12" s="1">
        <v>420</v>
      </c>
    </row>
    <row r="13" spans="2:12" x14ac:dyDescent="0.25">
      <c r="B13" t="s">
        <v>67</v>
      </c>
      <c r="C13" s="1">
        <v>690</v>
      </c>
      <c r="D13" s="1">
        <v>630</v>
      </c>
      <c r="F13" t="s">
        <v>67</v>
      </c>
      <c r="G13" s="1">
        <v>750</v>
      </c>
      <c r="H13" s="1">
        <v>750</v>
      </c>
      <c r="J13" t="s">
        <v>67</v>
      </c>
      <c r="K13" s="1">
        <v>440</v>
      </c>
      <c r="L13" s="1">
        <v>410</v>
      </c>
    </row>
    <row r="16" spans="2:12" x14ac:dyDescent="0.25">
      <c r="B16" t="s">
        <v>61</v>
      </c>
      <c r="C16" t="s">
        <v>62</v>
      </c>
      <c r="D16" t="s">
        <v>63</v>
      </c>
      <c r="F16" t="s">
        <v>61</v>
      </c>
      <c r="G16" t="s">
        <v>62</v>
      </c>
      <c r="H16" t="s">
        <v>63</v>
      </c>
      <c r="J16" t="s">
        <v>61</v>
      </c>
      <c r="K16" t="s">
        <v>62</v>
      </c>
      <c r="L16" t="s">
        <v>63</v>
      </c>
    </row>
    <row r="17" spans="2:12" x14ac:dyDescent="0.25">
      <c r="B17" t="s">
        <v>64</v>
      </c>
      <c r="C17" s="1">
        <v>670</v>
      </c>
      <c r="D17" s="1">
        <v>820</v>
      </c>
      <c r="F17" t="s">
        <v>64</v>
      </c>
      <c r="G17" s="1">
        <v>430</v>
      </c>
      <c r="H17" s="1">
        <v>580</v>
      </c>
      <c r="J17" t="s">
        <v>64</v>
      </c>
      <c r="K17" s="1">
        <v>710</v>
      </c>
      <c r="L17" s="1">
        <v>440</v>
      </c>
    </row>
    <row r="18" spans="2:12" x14ac:dyDescent="0.25">
      <c r="B18" t="s">
        <v>65</v>
      </c>
      <c r="C18" s="1">
        <v>820</v>
      </c>
      <c r="D18" s="1">
        <v>470</v>
      </c>
      <c r="F18" t="s">
        <v>65</v>
      </c>
      <c r="G18" s="1">
        <v>520</v>
      </c>
      <c r="H18" s="1">
        <v>550</v>
      </c>
      <c r="J18" t="s">
        <v>65</v>
      </c>
      <c r="K18" s="1">
        <v>600</v>
      </c>
      <c r="L18" s="1">
        <v>450</v>
      </c>
    </row>
    <row r="19" spans="2:12" x14ac:dyDescent="0.25">
      <c r="B19" t="s">
        <v>66</v>
      </c>
      <c r="C19" s="1">
        <v>650</v>
      </c>
      <c r="D19" s="1">
        <v>430</v>
      </c>
      <c r="F19" t="s">
        <v>66</v>
      </c>
      <c r="G19" s="1">
        <v>800</v>
      </c>
      <c r="H19" s="1">
        <v>470</v>
      </c>
      <c r="J19" t="s">
        <v>66</v>
      </c>
      <c r="K19" s="1">
        <v>640</v>
      </c>
      <c r="L19" s="1">
        <v>610</v>
      </c>
    </row>
    <row r="20" spans="2:12" x14ac:dyDescent="0.25">
      <c r="B20" t="s">
        <v>67</v>
      </c>
      <c r="C20" s="1">
        <v>540</v>
      </c>
      <c r="D20" s="1">
        <v>640</v>
      </c>
      <c r="F20" t="s">
        <v>67</v>
      </c>
      <c r="G20" s="1">
        <v>480</v>
      </c>
      <c r="H20" s="1">
        <v>400</v>
      </c>
      <c r="J20" t="s">
        <v>67</v>
      </c>
      <c r="K20" s="1">
        <v>400</v>
      </c>
      <c r="L20" s="1">
        <v>780</v>
      </c>
    </row>
    <row r="23" spans="2:12" x14ac:dyDescent="0.25">
      <c r="B23" t="s">
        <v>61</v>
      </c>
      <c r="C23" t="s">
        <v>62</v>
      </c>
      <c r="D23" t="s">
        <v>63</v>
      </c>
      <c r="F23" t="s">
        <v>61</v>
      </c>
      <c r="G23" t="s">
        <v>62</v>
      </c>
      <c r="H23" t="s">
        <v>63</v>
      </c>
      <c r="J23" t="s">
        <v>61</v>
      </c>
      <c r="K23" t="s">
        <v>62</v>
      </c>
      <c r="L23" t="s">
        <v>63</v>
      </c>
    </row>
    <row r="24" spans="2:12" x14ac:dyDescent="0.25">
      <c r="B24" t="s">
        <v>64</v>
      </c>
      <c r="C24" s="1">
        <v>630</v>
      </c>
      <c r="D24" s="1">
        <v>770</v>
      </c>
      <c r="F24" t="s">
        <v>64</v>
      </c>
      <c r="G24" s="1">
        <v>440</v>
      </c>
      <c r="H24" s="1">
        <v>840</v>
      </c>
      <c r="J24" t="s">
        <v>64</v>
      </c>
      <c r="K24" s="1">
        <v>620</v>
      </c>
      <c r="L24" s="1">
        <v>590</v>
      </c>
    </row>
    <row r="25" spans="2:12" x14ac:dyDescent="0.25">
      <c r="B25" t="s">
        <v>65</v>
      </c>
      <c r="C25" s="1">
        <v>570</v>
      </c>
      <c r="D25" s="1">
        <v>870</v>
      </c>
      <c r="F25" t="s">
        <v>65</v>
      </c>
      <c r="G25" s="1">
        <v>440</v>
      </c>
      <c r="H25" s="1">
        <v>430</v>
      </c>
      <c r="J25" t="s">
        <v>65</v>
      </c>
      <c r="K25" s="1">
        <v>670</v>
      </c>
      <c r="L25" s="1">
        <v>850</v>
      </c>
    </row>
    <row r="26" spans="2:12" x14ac:dyDescent="0.25">
      <c r="B26" t="s">
        <v>66</v>
      </c>
      <c r="C26" s="1">
        <v>760</v>
      </c>
      <c r="D26" s="1">
        <v>720</v>
      </c>
      <c r="F26" t="s">
        <v>66</v>
      </c>
      <c r="G26" s="1">
        <v>490</v>
      </c>
      <c r="H26" s="1">
        <v>550</v>
      </c>
      <c r="J26" t="s">
        <v>66</v>
      </c>
      <c r="K26" s="1">
        <v>660</v>
      </c>
      <c r="L26" s="1">
        <v>610</v>
      </c>
    </row>
    <row r="27" spans="2:12" x14ac:dyDescent="0.25">
      <c r="B27" t="s">
        <v>67</v>
      </c>
      <c r="C27" s="1">
        <v>530</v>
      </c>
      <c r="D27" s="1">
        <v>580</v>
      </c>
      <c r="F27" t="s">
        <v>67</v>
      </c>
      <c r="G27" s="1">
        <v>410</v>
      </c>
      <c r="H27" s="1">
        <v>700</v>
      </c>
      <c r="J27" t="s">
        <v>67</v>
      </c>
      <c r="K27" s="1">
        <v>460</v>
      </c>
      <c r="L27" s="1">
        <v>850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Inventory</vt:lpstr>
      <vt:lpstr>Teams</vt:lpstr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2026-10-23T07:02:56Z</dcterms:created>
  <dcterms:modified xsi:type="dcterms:W3CDTF">2026-10-23T07:02:56Z</dcterms:modified>
</cp:coreProperties>
</file>